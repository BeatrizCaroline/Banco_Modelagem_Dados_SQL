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eatrizReis\Downloads\"/>
    </mc:Choice>
  </mc:AlternateContent>
  <xr:revisionPtr revIDLastSave="0" documentId="8_{41120FF1-147D-4949-B0C3-D15DDF5F8928}" xr6:coauthVersionLast="47" xr6:coauthVersionMax="47" xr10:uidLastSave="{00000000-0000-0000-0000-000000000000}"/>
  <bookViews>
    <workbookView xWindow="-110" yWindow="-110" windowWidth="19420" windowHeight="10420" firstSheet="1" activeTab="4" xr2:uid="{28DD5B76-0634-4F87-BE60-8BFA7EF2E23B}"/>
  </bookViews>
  <sheets>
    <sheet name="A̳ssets" sheetId="1" state="hidden" r:id="rId1"/>
    <sheet name="B̳ases" sheetId="2" r:id="rId2"/>
    <sheet name="Detalhes1" sheetId="5" r:id="rId3"/>
    <sheet name="C̳álculos" sheetId="3" r:id="rId4"/>
    <sheet name="D̳ashboard" sheetId="4" r:id="rId5"/>
  </sheets>
  <definedNames>
    <definedName name="SegmentaçãodeDados_Subscription_Type">#N/A</definedName>
  </definedNames>
  <calcPr calcId="191029"/>
  <pivotCaches>
    <pivotCache cacheId="8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G12" i="4"/>
</calcChain>
</file>

<file path=xl/sharedStrings.xml><?xml version="1.0" encoding="utf-8"?>
<sst xmlns="http://schemas.openxmlformats.org/spreadsheetml/2006/main" count="2579" uniqueCount="319">
  <si>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</si>
  <si>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</si>
  <si>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</si>
  <si>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</si>
  <si>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</si>
  <si>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</si>
  <si>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</si>
  <si>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</si>
  <si>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</si>
  <si>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</si>
  <si>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</si>
  <si>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</si>
  <si>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</si>
  <si>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</si>
  <si>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</si>
  <si>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</si>
  <si>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</si>
  <si>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</si>
  <si>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</si>
  <si>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</si>
  <si>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</si>
  <si>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</si>
  <si>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</si>
  <si>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</si>
  <si>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</si>
  <si>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</si>
  <si>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</si>
  <si>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</si>
  <si>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</si>
  <si>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</si>
  <si>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</si>
  <si>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</si>
  <si>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</si>
  <si>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</si>
  <si>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</si>
  <si>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</si>
  <si>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</si>
  <si>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</si>
  <si>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</si>
  <si>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</si>
  <si>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</si>
  <si>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</si>
  <si>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</si>
  <si>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</si>
  <si>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</si>
  <si>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</si>
  <si>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</si>
  <si>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</si>
  <si>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</si>
  <si>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</si>
  <si>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</si>
  <si>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</si>
  <si>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</si>
  <si>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</si>
  <si>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</si>
  <si>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</si>
  <si>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</si>
  <si>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</si>
  <si>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</si>
  <si>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</si>
  <si>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</si>
  <si>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</si>
  <si>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</si>
  <si>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</si>
  <si>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</si>
  <si>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</si>
  <si>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</si>
  <si>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</si>
  <si>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</si>
  <si>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</si>
  <si>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</si>
  <si>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</si>
  <si>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</si>
  <si>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</si>
  <si>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</si>
  <si>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</si>
  <si>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</si>
  <si>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</si>
  <si>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</si>
  <si>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</si>
  <si>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</si>
  <si>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</si>
  <si>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</si>
  <si>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</si>
  <si>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</si>
  <si>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</si>
  <si>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</si>
  <si>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</si>
  <si>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</si>
  <si>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</si>
  <si>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</si>
  <si>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</si>
  <si>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</si>
  <si>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</si>
  <si>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</si>
  <si>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</si>
  <si>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</si>
  <si>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</si>
  <si>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</si>
  <si>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</si>
  <si>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</si>
  <si>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</si>
  <si>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</si>
  <si>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</si>
  <si>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</si>
  <si>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</si>
  <si>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</si>
  <si>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</si>
  <si>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</si>
  <si>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</si>
  <si>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</si>
  <si>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</si>
  <si>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</si>
  <si>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</si>
  <si>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</si>
  <si>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</si>
  <si>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</si>
  <si>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</si>
  <si>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</si>
  <si>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</si>
  <si>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</si>
  <si>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</si>
  <si>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</si>
  <si>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</si>
  <si>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</si>
  <si>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</si>
  <si>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</si>
  <si>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</si>
  <si>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</si>
  <si>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</si>
  <si>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</si>
  <si>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</si>
  <si>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</si>
  <si>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</si>
  <si>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</si>
  <si>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</si>
  <si>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</si>
  <si>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</si>
  <si>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</si>
  <si>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</si>
  <si>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</si>
  <si>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</si>
  <si>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</si>
  <si>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</si>
  <si>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</si>
  <si>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</si>
  <si>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</si>
  <si>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</si>
  <si>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</si>
  <si>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</si>
  <si>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</si>
  <si>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</si>
  <si>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</si>
  <si>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</si>
  <si>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</si>
  <si>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</si>
  <si>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</si>
  <si>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</si>
  <si>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</si>
  <si>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</si>
  <si>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</si>
  <si>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</si>
  <si>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</si>
  <si>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</si>
  <si>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</si>
  <si>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</si>
  <si>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</si>
  <si>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</si>
  <si>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</si>
  <si>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</si>
  <si>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</si>
  <si>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</si>
  <si>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</si>
  <si>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</si>
  <si>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</si>
  <si>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</si>
  <si>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</si>
  <si>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</si>
  <si>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</si>
  <si>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</si>
  <si>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</si>
  <si>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</si>
  <si>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</si>
  <si>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</si>
  <si>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</si>
  <si>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</si>
  <si>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</si>
  <si>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</si>
  <si>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</si>
  <si>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</si>
  <si>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</si>
  <si>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</si>
  <si>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</si>
  <si>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</si>
  <si>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</si>
  <si>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</si>
  <si>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</si>
  <si>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</si>
  <si>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</si>
  <si>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</si>
  <si>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</si>
  <si>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</si>
  <si>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</si>
  <si>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</si>
  <si>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</si>
  <si>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</si>
  <si>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</si>
  <si>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</si>
  <si>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</si>
  <si>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</si>
  <si>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</si>
  <si>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</si>
  <si>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</si>
  <si>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</si>
  <si>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</si>
  <si>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</si>
  <si>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</si>
  <si>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</si>
  <si>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</si>
  <si>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</si>
  <si>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</si>
  <si>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</si>
  <si>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</si>
  <si>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</si>
  <si>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</si>
  <si>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</si>
  <si>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</si>
  <si>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</si>
  <si>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</si>
  <si>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</si>
  <si>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</si>
  <si>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</si>
  <si>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</si>
  <si>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</si>
  <si>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</si>
  <si>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</si>
  <si>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</si>
  <si>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</si>
  <si>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</si>
  <si>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</si>
  <si>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</si>
  <si>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</si>
  <si>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</si>
  <si>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</si>
  <si>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</si>
  <si>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</si>
  <si>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</si>
  <si>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</si>
  <si>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</si>
  <si>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</si>
  <si>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</si>
  <si>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</si>
  <si>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</si>
  <si>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</si>
  <si>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</si>
  <si>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</si>
  <si>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</si>
  <si>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</si>
  <si>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</si>
  <si>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</si>
  <si>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</si>
  <si>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</si>
  <si>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</si>
  <si>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</si>
  <si>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</si>
  <si>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</si>
  <si>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</si>
  <si>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</si>
  <si>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</si>
  <si>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</si>
  <si>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</si>
  <si>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</si>
  <si>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</si>
  <si>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</si>
  <si>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</si>
  <si>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</si>
  <si>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</si>
  <si>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</si>
  <si>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</si>
  <si>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</si>
  <si>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</si>
  <si>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</si>
  <si>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</si>
  <si>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</si>
  <si>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</si>
  <si>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</si>
  <si>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</si>
  <si>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</si>
  <si>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</si>
  <si>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</si>
  <si>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</si>
  <si>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</si>
  <si>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</si>
  <si>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</si>
  <si>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</si>
  <si>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</si>
  <si>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</si>
  <si>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</si>
  <si>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</si>
  <si>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</si>
  <si>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</si>
  <si>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</si>
  <si>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</si>
  <si>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</si>
  <si>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</si>
  <si>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</si>
  <si>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</si>
  <si>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</si>
  <si>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</si>
  <si>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</si>
  <si>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</si>
  <si>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</si>
  <si>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</si>
  <si>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</si>
  <si>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</si>
  <si>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Subscription Price</t>
  </si>
  <si>
    <t>Faturamento total de vendas de cada plano</t>
  </si>
  <si>
    <t>Detalhes do Soma de Subscription Price - Subscription Type: Quarterly</t>
  </si>
  <si>
    <t xml:space="preserve"> XBOX GAME PLAN  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</si>
</sst>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pivotButton="1"/>
    <xf numFmtId="44" fontId="0" fillId="0" borderId="0" xfId="0" applyNumberFormat="1"/>
    <xf numFmtId="0" fontId="0" fillId="8" borderId="0" xfId="0" applyFill="1"/>
    <xf numFmtId="0" fontId="3" fillId="9" borderId="2" xfId="0" applyFont="1" applyFill="1" applyBorder="1"/>
    <xf numFmtId="0" fontId="3" fillId="9" borderId="3" xfId="0" applyFont="1" applyFill="1" applyBorder="1"/>
    <xf numFmtId="0" fontId="3" fillId="9" borderId="4" xfId="0" applyFont="1" applyFill="1" applyBorder="1"/>
    <xf numFmtId="0" fontId="0" fillId="8" borderId="0" xfId="0" applyFill="1" applyBorder="1"/>
    <xf numFmtId="14" fontId="0" fillId="0" borderId="0" xfId="0" applyNumberFormat="1"/>
    <xf numFmtId="0" fontId="3" fillId="0" borderId="0" xfId="0" applyFont="1"/>
    <xf numFmtId="0" fontId="5" fillId="0" borderId="0" xfId="0" applyFont="1" applyFill="1" applyAlignment="1"/>
    <xf numFmtId="0" fontId="6" fillId="10" borderId="0" xfId="0" applyFont="1" applyFill="1" applyAlignment="1"/>
    <xf numFmtId="165" fontId="0" fillId="0" borderId="0" xfId="0" applyNumberFormat="1" applyFill="1"/>
    <xf numFmtId="0" fontId="3" fillId="9" borderId="3" xfId="0" applyFont="1" applyFill="1" applyBorder="1" applyAlignment="1">
      <alignment horizontal="left" indent="1"/>
    </xf>
    <xf numFmtId="0" fontId="4" fillId="9" borderId="3" xfId="0" applyFont="1" applyFill="1" applyBorder="1" applyAlignment="1">
      <alignment horizontal="left" vertical="center" indent="31"/>
    </xf>
  </cellXfs>
  <cellStyles count="3">
    <cellStyle name="Moeda" xfId="2" builtinId="4"/>
    <cellStyle name="Normal" xfId="0" builtinId="0"/>
    <cellStyle name="Título 1" xfId="1" builtinId="16"/>
  </cellStyles>
  <dxfs count="23">
    <dxf>
      <font>
        <b/>
        <i val="0"/>
        <color theme="0"/>
      </font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4" tint="0.59996337778862885"/>
        </patternFill>
      </fill>
      <border diagonalUp="0" diagonalDown="0">
        <left/>
        <right/>
        <top/>
        <bottom/>
        <vertical/>
        <horizontal/>
      </border>
    </dxf>
    <dxf>
      <numFmt numFmtId="19" formatCode="dd/mm/yyyy"/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theme="2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4" tint="0.39994506668294322"/>
        </patternFill>
      </fill>
    </dxf>
    <dxf>
      <fill>
        <patternFill patternType="solid">
          <bgColor theme="0" tint="-4.9989318521683403E-2"/>
        </patternFill>
      </fill>
      <border diagonalUp="0" diagonalDown="1">
        <left/>
        <right/>
        <top/>
        <bottom/>
        <diagonal style="thin">
          <color auto="1"/>
        </diagonal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7" defaultTableStyle="TableStyleMedium2" defaultPivotStyle="PivotStyleLight16">
    <tableStyle name="Estilo de Segmentação de Dados 1" pivot="0" table="0" count="1" xr9:uid="{D8E3BE38-3BBE-4029-85AA-F4A4BA735F7F}">
      <tableStyleElement type="wholeTable" dxfId="4"/>
    </tableStyle>
    <tableStyle name="Estilo de Segmentação de Dados 2" pivot="0" table="0" count="1" xr9:uid="{2BF0AA22-3F50-43AA-8DE2-2D768837AC72}">
      <tableStyleElement type="wholeTable" dxfId="8"/>
    </tableStyle>
    <tableStyle name="Estilo de Segmentação de Dados 3" pivot="0" table="0" count="1" xr9:uid="{E66CC121-AD5E-44F7-A1A7-7C3BB39325CD}">
      <tableStyleElement type="wholeTable" dxfId="7"/>
    </tableStyle>
    <tableStyle name="Estilo de Segmentação de Dados 4" pivot="0" table="0" count="1" xr9:uid="{2715E58F-4FAA-4E8D-B0FB-83A0153DAE04}">
      <tableStyleElement type="wholeTable" dxfId="6"/>
    </tableStyle>
    <tableStyle name="Estilo de Segmentação de Dados 5" pivot="0" table="0" count="1" xr9:uid="{E9E92E26-028C-41B3-9867-BCDAF6C95F2A}">
      <tableStyleElement type="wholeTable" dxfId="5"/>
    </tableStyle>
    <tableStyle name="Estilo de Segmentação de Dados 6" pivot="0" table="0" count="1" xr9:uid="{DFE5F938-0E22-47C0-A78F-45C0613DCCDC}">
      <tableStyleElement type="headerRow" dxfId="3"/>
    </tableStyle>
    <tableStyle name="SlicerStyleLight1 2" pivot="0" table="0" count="10" xr9:uid="{1BC4E8F9-297F-47D9-8B42-44EA8394130E}">
      <tableStyleElement type="wholeTable" dxfId="1"/>
      <tableStyleElement type="headerRow" dxfId="0"/>
    </tableStyle>
  </tableStyles>
  <colors>
    <mruColors>
      <color rgb="FFE8E6E9"/>
      <color rgb="FF22C55E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0"/>
              <bgColor theme="4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Estilo de Segmentação de Dados 4"/>
        <x14:slicerStyle name="Estilo de Segmentação de Dados 5"/>
        <x14:slicerStyle name="Estilo de Segmentação de Dados 6"/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[Meu Dashboard Xbox (Curso Excel).xlsx]C̳álculos!Soma Valor Planos</c:name>
    <c:fmtId val="4"/>
  </c:pivotSource>
  <c:chart>
    <c:autoTitleDeleted val="1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9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359247371310752"/>
          <c:y val="0.15692462009127839"/>
          <c:w val="0.62951670275967664"/>
          <c:h val="0.755706838728492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C̳álculos!$C$11:$C$14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270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5-4714-AC23-2FF495A24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0947055"/>
        <c:axId val="410947535"/>
      </c:barChart>
      <c:catAx>
        <c:axId val="4109470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0947535"/>
        <c:crosses val="autoZero"/>
        <c:auto val="1"/>
        <c:lblAlgn val="ctr"/>
        <c:lblOffset val="100"/>
        <c:noMultiLvlLbl val="0"/>
      </c:catAx>
      <c:valAx>
        <c:axId val="410947535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10947055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accent1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198435</xdr:colOff>
      <xdr:row>8</xdr:row>
      <xdr:rowOff>111125</xdr:rowOff>
    </xdr:from>
    <xdr:to>
      <xdr:col>8</xdr:col>
      <xdr:colOff>119062</xdr:colOff>
      <xdr:row>15</xdr:row>
      <xdr:rowOff>75656</xdr:rowOff>
    </xdr:to>
    <xdr:sp macro="" textlink="">
      <xdr:nvSpPr>
        <xdr:cNvPr id="13" name="Seta: Dobrada para Cima 12">
          <a:extLst>
            <a:ext uri="{FF2B5EF4-FFF2-40B4-BE49-F238E27FC236}">
              <a16:creationId xmlns:a16="http://schemas.microsoft.com/office/drawing/2014/main" id="{1556BD00-BCB7-2187-C7AD-E1A2FB368C98}"/>
            </a:ext>
          </a:extLst>
        </xdr:cNvPr>
        <xdr:cNvSpPr/>
      </xdr:nvSpPr>
      <xdr:spPr>
        <a:xfrm rot="16200000" flipV="1">
          <a:off x="3502296" y="1585640"/>
          <a:ext cx="1242468" cy="1897064"/>
        </a:xfrm>
        <a:prstGeom prst="bentUpArrow">
          <a:avLst>
            <a:gd name="adj1" fmla="val 39178"/>
            <a:gd name="adj2" fmla="val 36904"/>
            <a:gd name="adj3" fmla="val 50000"/>
          </a:avLst>
        </a:prstGeom>
        <a:solidFill>
          <a:schemeClr val="accent1">
            <a:lumMod val="60000"/>
            <a:lumOff val="40000"/>
          </a:schemeClr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t"/>
        <a:lstStyle/>
        <a:p>
          <a:pPr lvl="0" algn="ctr"/>
          <a:r>
            <a:rPr lang="en-US" sz="1400" b="1">
              <a:solidFill>
                <a:schemeClr val="bg1"/>
              </a:solidFill>
            </a:rPr>
            <a:t>TOTAL</a:t>
          </a:r>
        </a:p>
      </xdr:txBody>
    </xdr:sp>
    <xdr:clientData/>
  </xdr:twoCellAnchor>
  <xdr:twoCellAnchor>
    <xdr:from>
      <xdr:col>9</xdr:col>
      <xdr:colOff>174624</xdr:colOff>
      <xdr:row>10</xdr:row>
      <xdr:rowOff>71438</xdr:rowOff>
    </xdr:from>
    <xdr:to>
      <xdr:col>16</xdr:col>
      <xdr:colOff>182562</xdr:colOff>
      <xdr:row>27</xdr:row>
      <xdr:rowOff>142876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04861AEF-F511-C74A-DBE3-F7460F84C8DA}"/>
            </a:ext>
          </a:extLst>
        </xdr:cNvPr>
        <xdr:cNvGrpSpPr/>
      </xdr:nvGrpSpPr>
      <xdr:grpSpPr>
        <a:xfrm>
          <a:off x="5738812" y="2238376"/>
          <a:ext cx="4135438" cy="3175000"/>
          <a:chOff x="3889374" y="1254125"/>
          <a:chExt cx="4135438" cy="317500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7378E5B1-1D27-020D-B458-C2CDE556ECB3}"/>
              </a:ext>
            </a:extLst>
          </xdr:cNvPr>
          <xdr:cNvSpPr/>
        </xdr:nvSpPr>
        <xdr:spPr>
          <a:xfrm>
            <a:off x="3889374" y="1277938"/>
            <a:ext cx="4135438" cy="3151187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  <a:effectLst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 b="0" cap="none" spc="0">
              <a:ln>
                <a:noFill/>
              </a:ln>
              <a:solidFill>
                <a:schemeClr val="tx1"/>
              </a:solidFill>
              <a:effectLst/>
            </a:endParaRPr>
          </a:p>
        </xdr:txBody>
      </xdr:sp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9C907F66-A7BC-4B82-0FA2-9D4A292FA67C}"/>
              </a:ext>
            </a:extLst>
          </xdr:cNvPr>
          <xdr:cNvGrpSpPr/>
        </xdr:nvGrpSpPr>
        <xdr:grpSpPr>
          <a:xfrm>
            <a:off x="3889375" y="1254125"/>
            <a:ext cx="4127500" cy="3000375"/>
            <a:chOff x="3889375" y="1254125"/>
            <a:chExt cx="4127500" cy="3000375"/>
          </a:xfrm>
        </xdr:grpSpPr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B2F2C3B-5BCC-4B9D-AF72-EA8C4945398F}"/>
                </a:ext>
              </a:extLst>
            </xdr:cNvPr>
            <xdr:cNvGraphicFramePr>
              <a:graphicFrameLocks/>
            </xdr:cNvGraphicFramePr>
          </xdr:nvGraphicFramePr>
          <xdr:xfrm>
            <a:off x="4008437" y="1762125"/>
            <a:ext cx="3857626" cy="24923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8" name="Retângulo: Cantos Superiores Arredondados 7">
              <a:extLst>
                <a:ext uri="{FF2B5EF4-FFF2-40B4-BE49-F238E27FC236}">
                  <a16:creationId xmlns:a16="http://schemas.microsoft.com/office/drawing/2014/main" id="{BD292448-2B8D-09C5-B6DD-EEAF1E08ABAB}"/>
                </a:ext>
              </a:extLst>
            </xdr:cNvPr>
            <xdr:cNvSpPr/>
          </xdr:nvSpPr>
          <xdr:spPr>
            <a:xfrm>
              <a:off x="3889375" y="1254125"/>
              <a:ext cx="4127500" cy="444500"/>
            </a:xfrm>
            <a:prstGeom prst="round2Same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/>
                <a:t>TOTAL </a:t>
              </a:r>
              <a:r>
                <a:rPr lang="pt-BR" sz="14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SUBSCRIPTION PRICE</a:t>
              </a:r>
              <a:r>
                <a:rPr lang="pt-BR" sz="1400" b="1"/>
                <a:t> XBOX GAME PLAN  </a:t>
              </a:r>
            </a:p>
          </xdr:txBody>
        </xdr:sp>
      </xdr:grpSp>
    </xdr:grpSp>
    <xdr:clientData/>
  </xdr:twoCellAnchor>
  <xdr:twoCellAnchor>
    <xdr:from>
      <xdr:col>3</xdr:col>
      <xdr:colOff>547688</xdr:colOff>
      <xdr:row>16</xdr:row>
      <xdr:rowOff>111124</xdr:rowOff>
    </xdr:from>
    <xdr:to>
      <xdr:col>7</xdr:col>
      <xdr:colOff>134938</xdr:colOff>
      <xdr:row>27</xdr:row>
      <xdr:rowOff>127000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A32C63EC-E166-5F12-651A-E65294422ED4}"/>
            </a:ext>
          </a:extLst>
        </xdr:cNvPr>
        <xdr:cNvGrpSpPr/>
      </xdr:nvGrpSpPr>
      <xdr:grpSpPr>
        <a:xfrm>
          <a:off x="2301876" y="3373437"/>
          <a:ext cx="2174875" cy="2024063"/>
          <a:chOff x="992187" y="1793875"/>
          <a:chExt cx="2032000" cy="2024063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E14609EF-0988-9AD3-1515-76587C82E65C}"/>
              </a:ext>
            </a:extLst>
          </xdr:cNvPr>
          <xdr:cNvSpPr/>
        </xdr:nvSpPr>
        <xdr:spPr>
          <a:xfrm>
            <a:off x="992187" y="1793875"/>
            <a:ext cx="2032000" cy="2024063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>
            <a:solidFill>
              <a:schemeClr val="bg2"/>
            </a:solidFill>
          </a:ln>
          <a:effectLst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2" name="Subscription Type">
                <a:extLst>
                  <a:ext uri="{FF2B5EF4-FFF2-40B4-BE49-F238E27FC236}">
                    <a16:creationId xmlns:a16="http://schemas.microsoft.com/office/drawing/2014/main" id="{F22403F0-5F4C-4B02-9B8E-5777D7355F7A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079499" y="2309812"/>
              <a:ext cx="1828800" cy="1349374"/>
            </xdr:xfrm>
            <a:graphic>
              <a:graphicData uri="http://schemas.microsoft.com/office/drawing/2010/slicer">
                <sle:slicer xmlns:sle="http://schemas.microsoft.com/office/drawing/2010/slicer" name="Subscription Type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395327" y="3889374"/>
                <a:ext cx="1957388" cy="134937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BA71F6B7-B4F7-478E-9EBF-A5FD94A1342E}"/>
              </a:ext>
            </a:extLst>
          </xdr:cNvPr>
          <xdr:cNvSpPr/>
        </xdr:nvSpPr>
        <xdr:spPr>
          <a:xfrm>
            <a:off x="1009651" y="1817687"/>
            <a:ext cx="1998662" cy="327025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515943</xdr:colOff>
      <xdr:row>9</xdr:row>
      <xdr:rowOff>158749</xdr:rowOff>
    </xdr:from>
    <xdr:to>
      <xdr:col>5</xdr:col>
      <xdr:colOff>293692</xdr:colOff>
      <xdr:row>15</xdr:row>
      <xdr:rowOff>63500</xdr:rowOff>
    </xdr:to>
    <xdr:sp macro="" textlink="C̳álculos!E12">
      <xdr:nvSpPr>
        <xdr:cNvPr id="15" name="Retângulo: Cantos Superiores Arredondados 14">
          <a:extLst>
            <a:ext uri="{FF2B5EF4-FFF2-40B4-BE49-F238E27FC236}">
              <a16:creationId xmlns:a16="http://schemas.microsoft.com/office/drawing/2014/main" id="{1BDF7345-F4A7-0ACF-BF48-1DD15559AB6D}"/>
            </a:ext>
          </a:extLst>
        </xdr:cNvPr>
        <xdr:cNvSpPr/>
      </xdr:nvSpPr>
      <xdr:spPr>
        <a:xfrm rot="16200000">
          <a:off x="2575724" y="2448718"/>
          <a:ext cx="1000126" cy="388937"/>
        </a:xfrm>
        <a:prstGeom prst="round2Same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10C57F90-163C-41B4-8835-3A561DB3FCA1}" type="TxLink">
            <a:rPr lang="en-US" sz="2800" b="1" i="0" u="none" strike="noStrike">
              <a:solidFill>
                <a:schemeClr val="bg1"/>
              </a:solidFill>
              <a:latin typeface="Aptos Narrow"/>
            </a:rPr>
            <a:pPr algn="ctr"/>
            <a:t>690</a:t>
          </a:fld>
          <a:endParaRPr lang="pt-BR" sz="28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Reis" refreshedDate="45728.524777430554" createdVersion="8" refreshedVersion="8" minRefreshableVersion="3" recordCount="295" xr:uid="{36B453A8-F172-4AB7-9D52-053980CC9B3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706960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s v="Yes"/>
    <x v="0"/>
    <x v="0"/>
    <s v="Yes"/>
    <n v="30"/>
    <s v="Yes"/>
    <n v="20"/>
    <n v="5"/>
    <n v="60"/>
  </r>
  <r>
    <n v="3232"/>
    <x v="1"/>
    <x v="1"/>
    <d v="2024-01-15T00:00:00"/>
    <s v="No"/>
    <x v="1"/>
    <x v="1"/>
    <s v="No"/>
    <s v="-"/>
    <s v="No"/>
    <n v="0"/>
    <n v="0"/>
    <n v="5"/>
  </r>
  <r>
    <n v="3233"/>
    <x v="2"/>
    <x v="2"/>
    <d v="2024-02-10T00:00:00"/>
    <s v="Yes"/>
    <x v="2"/>
    <x v="2"/>
    <s v="No"/>
    <s v="-"/>
    <s v="Yes"/>
    <n v="20"/>
    <n v="10"/>
    <n v="20"/>
  </r>
  <r>
    <n v="3234"/>
    <x v="3"/>
    <x v="0"/>
    <d v="2024-02-20T00:00:00"/>
    <s v="No"/>
    <x v="0"/>
    <x v="0"/>
    <s v="Yes"/>
    <n v="30"/>
    <s v="Yes"/>
    <n v="20"/>
    <n v="3"/>
    <n v="62"/>
  </r>
  <r>
    <n v="3235"/>
    <x v="4"/>
    <x v="1"/>
    <d v="2024-03-05T00:00:00"/>
    <s v="Yes"/>
    <x v="1"/>
    <x v="0"/>
    <s v="No"/>
    <s v="-"/>
    <s v="No"/>
    <n v="0"/>
    <n v="1"/>
    <n v="4"/>
  </r>
  <r>
    <n v="3236"/>
    <x v="5"/>
    <x v="2"/>
    <d v="2024-03-02T00:00:00"/>
    <s v="No"/>
    <x v="2"/>
    <x v="0"/>
    <s v="No"/>
    <s v="-"/>
    <s v="Yes"/>
    <n v="20"/>
    <n v="2"/>
    <n v="28"/>
  </r>
  <r>
    <n v="3237"/>
    <x v="6"/>
    <x v="0"/>
    <d v="2024-03-03T00:00:00"/>
    <s v="Yes"/>
    <x v="0"/>
    <x v="2"/>
    <s v="Yes"/>
    <n v="30"/>
    <s v="Yes"/>
    <n v="20"/>
    <n v="10"/>
    <n v="55"/>
  </r>
  <r>
    <n v="3238"/>
    <x v="7"/>
    <x v="1"/>
    <d v="2024-03-04T00:00:00"/>
    <s v="Yes"/>
    <x v="1"/>
    <x v="1"/>
    <s v="No"/>
    <s v="-"/>
    <s v="No"/>
    <n v="0"/>
    <n v="0"/>
    <n v="5"/>
  </r>
  <r>
    <n v="3239"/>
    <x v="8"/>
    <x v="0"/>
    <d v="2024-03-05T00:00:00"/>
    <s v="No"/>
    <x v="0"/>
    <x v="0"/>
    <s v="Yes"/>
    <n v="30"/>
    <s v="Yes"/>
    <n v="20"/>
    <n v="5"/>
    <n v="60"/>
  </r>
  <r>
    <n v="3240"/>
    <x v="9"/>
    <x v="2"/>
    <d v="2024-03-06T00:00:00"/>
    <s v="Yes"/>
    <x v="2"/>
    <x v="2"/>
    <s v="No"/>
    <s v="-"/>
    <s v="Yes"/>
    <n v="20"/>
    <n v="15"/>
    <n v="15"/>
  </r>
  <r>
    <n v="3241"/>
    <x v="10"/>
    <x v="1"/>
    <d v="2024-03-07T00:00:00"/>
    <s v="No"/>
    <x v="1"/>
    <x v="0"/>
    <s v="No"/>
    <s v="-"/>
    <s v="No"/>
    <n v="0"/>
    <n v="1"/>
    <n v="4"/>
  </r>
  <r>
    <n v="3242"/>
    <x v="11"/>
    <x v="0"/>
    <d v="2024-03-08T00:00:00"/>
    <s v="Yes"/>
    <x v="0"/>
    <x v="1"/>
    <s v="Yes"/>
    <n v="30"/>
    <s v="Yes"/>
    <n v="20"/>
    <n v="20"/>
    <n v="45"/>
  </r>
  <r>
    <n v="3243"/>
    <x v="12"/>
    <x v="2"/>
    <d v="2024-03-09T00:00:00"/>
    <s v="No"/>
    <x v="2"/>
    <x v="0"/>
    <s v="No"/>
    <s v="-"/>
    <s v="Yes"/>
    <n v="20"/>
    <n v="10"/>
    <n v="20"/>
  </r>
  <r>
    <n v="3244"/>
    <x v="13"/>
    <x v="1"/>
    <d v="2024-03-10T00:00:00"/>
    <s v="Yes"/>
    <x v="1"/>
    <x v="2"/>
    <s v="No"/>
    <s v="-"/>
    <s v="No"/>
    <n v="0"/>
    <n v="0"/>
    <n v="5"/>
  </r>
  <r>
    <n v="3245"/>
    <x v="14"/>
    <x v="0"/>
    <d v="2024-03-11T00:00:00"/>
    <s v="No"/>
    <x v="0"/>
    <x v="0"/>
    <s v="Yes"/>
    <n v="30"/>
    <s v="Yes"/>
    <n v="20"/>
    <n v="8"/>
    <n v="57"/>
  </r>
  <r>
    <n v="3246"/>
    <x v="15"/>
    <x v="2"/>
    <d v="2024-03-12T00:00:00"/>
    <s v="Yes"/>
    <x v="2"/>
    <x v="1"/>
    <s v="No"/>
    <s v="-"/>
    <s v="Yes"/>
    <n v="20"/>
    <n v="12"/>
    <n v="18"/>
  </r>
  <r>
    <n v="3247"/>
    <x v="16"/>
    <x v="1"/>
    <d v="2024-03-13T00:00:00"/>
    <s v="No"/>
    <x v="1"/>
    <x v="0"/>
    <s v="No"/>
    <s v="-"/>
    <s v="No"/>
    <n v="0"/>
    <n v="2"/>
    <n v="3"/>
  </r>
  <r>
    <n v="3248"/>
    <x v="17"/>
    <x v="0"/>
    <d v="2024-03-14T00:00:00"/>
    <s v="Yes"/>
    <x v="0"/>
    <x v="2"/>
    <s v="Yes"/>
    <n v="30"/>
    <s v="Yes"/>
    <n v="20"/>
    <n v="7"/>
    <n v="58"/>
  </r>
  <r>
    <n v="3249"/>
    <x v="18"/>
    <x v="2"/>
    <d v="2024-03-15T00:00:00"/>
    <s v="No"/>
    <x v="2"/>
    <x v="0"/>
    <s v="No"/>
    <s v="-"/>
    <s v="Yes"/>
    <n v="20"/>
    <n v="5"/>
    <n v="25"/>
  </r>
  <r>
    <n v="3250"/>
    <x v="19"/>
    <x v="1"/>
    <d v="2024-03-16T00:00:00"/>
    <s v="Yes"/>
    <x v="1"/>
    <x v="1"/>
    <s v="No"/>
    <s v="-"/>
    <s v="No"/>
    <n v="0"/>
    <n v="0"/>
    <n v="5"/>
  </r>
  <r>
    <n v="3251"/>
    <x v="20"/>
    <x v="0"/>
    <d v="2024-03-17T00:00:00"/>
    <s v="No"/>
    <x v="0"/>
    <x v="0"/>
    <s v="Yes"/>
    <n v="30"/>
    <s v="Yes"/>
    <n v="20"/>
    <n v="3"/>
    <n v="62"/>
  </r>
  <r>
    <n v="3252"/>
    <x v="21"/>
    <x v="2"/>
    <d v="2024-03-18T00:00:00"/>
    <s v="Yes"/>
    <x v="2"/>
    <x v="2"/>
    <s v="No"/>
    <s v="-"/>
    <s v="Yes"/>
    <n v="20"/>
    <n v="15"/>
    <n v="15"/>
  </r>
  <r>
    <n v="3253"/>
    <x v="22"/>
    <x v="1"/>
    <d v="2024-03-19T00:00:00"/>
    <s v="No"/>
    <x v="1"/>
    <x v="0"/>
    <s v="No"/>
    <s v="-"/>
    <s v="No"/>
    <n v="0"/>
    <n v="1"/>
    <n v="4"/>
  </r>
  <r>
    <n v="3254"/>
    <x v="23"/>
    <x v="0"/>
    <d v="2024-03-20T00:00:00"/>
    <s v="Yes"/>
    <x v="0"/>
    <x v="1"/>
    <s v="Yes"/>
    <n v="30"/>
    <s v="Yes"/>
    <n v="20"/>
    <n v="20"/>
    <n v="45"/>
  </r>
  <r>
    <n v="3255"/>
    <x v="24"/>
    <x v="2"/>
    <d v="2024-03-21T00:00:00"/>
    <s v="No"/>
    <x v="2"/>
    <x v="0"/>
    <s v="No"/>
    <s v="-"/>
    <s v="Yes"/>
    <n v="20"/>
    <n v="10"/>
    <n v="20"/>
  </r>
  <r>
    <n v="3256"/>
    <x v="25"/>
    <x v="1"/>
    <d v="2024-03-22T00:00:00"/>
    <s v="Yes"/>
    <x v="1"/>
    <x v="2"/>
    <s v="No"/>
    <s v="-"/>
    <s v="No"/>
    <n v="0"/>
    <n v="0"/>
    <n v="5"/>
  </r>
  <r>
    <n v="3257"/>
    <x v="26"/>
    <x v="0"/>
    <d v="2024-03-23T00:00:00"/>
    <s v="No"/>
    <x v="0"/>
    <x v="0"/>
    <s v="Yes"/>
    <n v="30"/>
    <s v="Yes"/>
    <n v="20"/>
    <n v="5"/>
    <n v="60"/>
  </r>
  <r>
    <n v="3258"/>
    <x v="27"/>
    <x v="2"/>
    <d v="2024-03-24T00:00:00"/>
    <s v="Yes"/>
    <x v="2"/>
    <x v="1"/>
    <s v="No"/>
    <s v="-"/>
    <s v="Yes"/>
    <n v="20"/>
    <n v="15"/>
    <n v="15"/>
  </r>
  <r>
    <n v="3259"/>
    <x v="28"/>
    <x v="1"/>
    <d v="2024-03-25T00:00:00"/>
    <s v="No"/>
    <x v="1"/>
    <x v="0"/>
    <s v="No"/>
    <s v="-"/>
    <s v="No"/>
    <n v="0"/>
    <n v="1"/>
    <n v="4"/>
  </r>
  <r>
    <n v="3260"/>
    <x v="29"/>
    <x v="0"/>
    <d v="2024-03-26T00:00:00"/>
    <s v="Yes"/>
    <x v="0"/>
    <x v="2"/>
    <s v="Yes"/>
    <n v="30"/>
    <s v="Yes"/>
    <n v="20"/>
    <n v="7"/>
    <n v="58"/>
  </r>
  <r>
    <n v="3261"/>
    <x v="30"/>
    <x v="2"/>
    <d v="2024-03-27T00:00:00"/>
    <s v="No"/>
    <x v="2"/>
    <x v="0"/>
    <s v="No"/>
    <s v="-"/>
    <s v="Yes"/>
    <n v="20"/>
    <n v="10"/>
    <n v="20"/>
  </r>
  <r>
    <n v="3262"/>
    <x v="31"/>
    <x v="1"/>
    <d v="2024-03-28T00:00:00"/>
    <s v="Yes"/>
    <x v="1"/>
    <x v="1"/>
    <s v="No"/>
    <s v="-"/>
    <s v="No"/>
    <n v="0"/>
    <n v="0"/>
    <n v="5"/>
  </r>
  <r>
    <n v="3263"/>
    <x v="32"/>
    <x v="0"/>
    <d v="2024-03-29T00:00:00"/>
    <s v="No"/>
    <x v="0"/>
    <x v="0"/>
    <s v="Yes"/>
    <n v="30"/>
    <s v="Yes"/>
    <n v="20"/>
    <n v="3"/>
    <n v="62"/>
  </r>
  <r>
    <n v="3264"/>
    <x v="33"/>
    <x v="2"/>
    <d v="2024-03-30T00:00:00"/>
    <s v="Yes"/>
    <x v="2"/>
    <x v="2"/>
    <s v="No"/>
    <s v="-"/>
    <s v="Yes"/>
    <n v="20"/>
    <n v="15"/>
    <n v="15"/>
  </r>
  <r>
    <n v="3265"/>
    <x v="34"/>
    <x v="1"/>
    <d v="2024-03-31T00:00:00"/>
    <s v="No"/>
    <x v="1"/>
    <x v="0"/>
    <s v="No"/>
    <s v="-"/>
    <s v="No"/>
    <n v="0"/>
    <n v="1"/>
    <n v="4"/>
  </r>
  <r>
    <n v="3266"/>
    <x v="35"/>
    <x v="1"/>
    <d v="2024-04-01T00:00:00"/>
    <s v="Yes"/>
    <x v="1"/>
    <x v="0"/>
    <s v="No"/>
    <s v="-"/>
    <s v="No"/>
    <n v="0"/>
    <n v="0"/>
    <n v="5"/>
  </r>
  <r>
    <n v="3267"/>
    <x v="36"/>
    <x v="0"/>
    <d v="2024-04-02T00:00:00"/>
    <s v="No"/>
    <x v="0"/>
    <x v="2"/>
    <s v="Yes"/>
    <n v="30"/>
    <s v="Yes"/>
    <n v="20"/>
    <n v="7"/>
    <n v="58"/>
  </r>
  <r>
    <n v="3268"/>
    <x v="37"/>
    <x v="2"/>
    <d v="2024-04-03T00:00:00"/>
    <s v="Yes"/>
    <x v="2"/>
    <x v="1"/>
    <s v="No"/>
    <s v="-"/>
    <s v="Yes"/>
    <n v="20"/>
    <n v="10"/>
    <n v="20"/>
  </r>
  <r>
    <n v="3269"/>
    <x v="38"/>
    <x v="1"/>
    <d v="2024-04-04T00:00:00"/>
    <s v="No"/>
    <x v="1"/>
    <x v="2"/>
    <s v="No"/>
    <s v="-"/>
    <s v="No"/>
    <n v="0"/>
    <n v="1"/>
    <n v="4"/>
  </r>
  <r>
    <n v="3270"/>
    <x v="39"/>
    <x v="0"/>
    <d v="2024-04-05T00:00:00"/>
    <s v="Yes"/>
    <x v="0"/>
    <x v="0"/>
    <s v="Yes"/>
    <n v="30"/>
    <s v="Yes"/>
    <n v="20"/>
    <n v="15"/>
    <n v="50"/>
  </r>
  <r>
    <n v="3271"/>
    <x v="40"/>
    <x v="2"/>
    <d v="2024-04-06T00:00:00"/>
    <s v="No"/>
    <x v="2"/>
    <x v="0"/>
    <s v="No"/>
    <s v="-"/>
    <s v="Yes"/>
    <n v="20"/>
    <n v="5"/>
    <n v="25"/>
  </r>
  <r>
    <n v="3272"/>
    <x v="41"/>
    <x v="1"/>
    <d v="2024-04-07T00:00:00"/>
    <s v="Yes"/>
    <x v="1"/>
    <x v="1"/>
    <s v="No"/>
    <s v="-"/>
    <s v="No"/>
    <n v="0"/>
    <n v="0"/>
    <n v="5"/>
  </r>
  <r>
    <n v="3273"/>
    <x v="42"/>
    <x v="0"/>
    <d v="2024-04-08T00:00:00"/>
    <s v="No"/>
    <x v="0"/>
    <x v="2"/>
    <s v="Yes"/>
    <n v="30"/>
    <s v="Yes"/>
    <n v="20"/>
    <n v="20"/>
    <n v="45"/>
  </r>
  <r>
    <n v="3274"/>
    <x v="43"/>
    <x v="2"/>
    <d v="2024-04-09T00:00:00"/>
    <s v="Yes"/>
    <x v="2"/>
    <x v="2"/>
    <s v="No"/>
    <s v="-"/>
    <s v="Yes"/>
    <n v="20"/>
    <n v="12"/>
    <n v="18"/>
  </r>
  <r>
    <n v="3275"/>
    <x v="44"/>
    <x v="1"/>
    <d v="2024-04-10T00:00:00"/>
    <s v="No"/>
    <x v="1"/>
    <x v="0"/>
    <s v="No"/>
    <s v="-"/>
    <s v="No"/>
    <n v="0"/>
    <n v="2"/>
    <n v="3"/>
  </r>
  <r>
    <n v="3276"/>
    <x v="45"/>
    <x v="0"/>
    <d v="2024-04-11T00:00:00"/>
    <s v="Yes"/>
    <x v="0"/>
    <x v="1"/>
    <s v="Yes"/>
    <n v="30"/>
    <s v="Yes"/>
    <n v="20"/>
    <n v="5"/>
    <n v="60"/>
  </r>
  <r>
    <n v="3277"/>
    <x v="46"/>
    <x v="2"/>
    <d v="2024-04-12T00:00:00"/>
    <s v="No"/>
    <x v="2"/>
    <x v="0"/>
    <s v="No"/>
    <s v="-"/>
    <s v="Yes"/>
    <n v="20"/>
    <n v="10"/>
    <n v="20"/>
  </r>
  <r>
    <n v="3278"/>
    <x v="47"/>
    <x v="1"/>
    <d v="2024-04-13T00:00:00"/>
    <s v="Yes"/>
    <x v="1"/>
    <x v="2"/>
    <s v="No"/>
    <s v="-"/>
    <s v="No"/>
    <n v="0"/>
    <n v="0"/>
    <n v="5"/>
  </r>
  <r>
    <n v="3279"/>
    <x v="48"/>
    <x v="0"/>
    <d v="2024-04-14T00:00:00"/>
    <s v="No"/>
    <x v="0"/>
    <x v="0"/>
    <s v="Yes"/>
    <n v="30"/>
    <s v="Yes"/>
    <n v="20"/>
    <n v="3"/>
    <n v="62"/>
  </r>
  <r>
    <n v="3280"/>
    <x v="49"/>
    <x v="2"/>
    <d v="2024-04-15T00:00:00"/>
    <s v="Yes"/>
    <x v="2"/>
    <x v="1"/>
    <s v="No"/>
    <s v="-"/>
    <s v="Yes"/>
    <n v="20"/>
    <n v="15"/>
    <n v="15"/>
  </r>
  <r>
    <n v="3281"/>
    <x v="50"/>
    <x v="1"/>
    <d v="2024-04-16T00:00:00"/>
    <s v="No"/>
    <x v="1"/>
    <x v="0"/>
    <s v="No"/>
    <s v="-"/>
    <s v="No"/>
    <n v="0"/>
    <n v="1"/>
    <n v="4"/>
  </r>
  <r>
    <n v="3282"/>
    <x v="51"/>
    <x v="0"/>
    <d v="2024-04-17T00:00:00"/>
    <s v="Yes"/>
    <x v="0"/>
    <x v="2"/>
    <s v="Yes"/>
    <n v="30"/>
    <s v="Yes"/>
    <n v="20"/>
    <n v="7"/>
    <n v="58"/>
  </r>
  <r>
    <n v="3283"/>
    <x v="52"/>
    <x v="2"/>
    <d v="2024-04-18T00:00:00"/>
    <s v="No"/>
    <x v="2"/>
    <x v="0"/>
    <s v="No"/>
    <s v="-"/>
    <s v="Yes"/>
    <n v="20"/>
    <n v="10"/>
    <n v="20"/>
  </r>
  <r>
    <n v="3284"/>
    <x v="53"/>
    <x v="1"/>
    <d v="2024-04-19T00:00:00"/>
    <s v="Yes"/>
    <x v="1"/>
    <x v="1"/>
    <s v="No"/>
    <s v="-"/>
    <s v="No"/>
    <n v="0"/>
    <n v="0"/>
    <n v="5"/>
  </r>
  <r>
    <n v="3285"/>
    <x v="54"/>
    <x v="0"/>
    <d v="2024-04-20T00:00:00"/>
    <s v="No"/>
    <x v="0"/>
    <x v="0"/>
    <s v="Yes"/>
    <n v="30"/>
    <s v="Yes"/>
    <n v="20"/>
    <n v="20"/>
    <n v="45"/>
  </r>
  <r>
    <n v="3286"/>
    <x v="55"/>
    <x v="2"/>
    <d v="2024-04-21T00:00:00"/>
    <s v="Yes"/>
    <x v="2"/>
    <x v="2"/>
    <s v="No"/>
    <s v="-"/>
    <s v="Yes"/>
    <n v="20"/>
    <n v="15"/>
    <n v="15"/>
  </r>
  <r>
    <n v="3287"/>
    <x v="56"/>
    <x v="1"/>
    <d v="2024-04-22T00:00:00"/>
    <s v="No"/>
    <x v="1"/>
    <x v="0"/>
    <s v="No"/>
    <s v="-"/>
    <s v="No"/>
    <n v="0"/>
    <n v="1"/>
    <n v="4"/>
  </r>
  <r>
    <n v="3288"/>
    <x v="57"/>
    <x v="0"/>
    <d v="2024-04-23T00:00:00"/>
    <s v="Yes"/>
    <x v="0"/>
    <x v="1"/>
    <s v="Yes"/>
    <n v="30"/>
    <s v="Yes"/>
    <n v="20"/>
    <n v="3"/>
    <n v="62"/>
  </r>
  <r>
    <n v="3289"/>
    <x v="58"/>
    <x v="2"/>
    <d v="2024-04-24T00:00:00"/>
    <s v="No"/>
    <x v="2"/>
    <x v="0"/>
    <s v="No"/>
    <s v="-"/>
    <s v="Yes"/>
    <n v="20"/>
    <n v="10"/>
    <n v="20"/>
  </r>
  <r>
    <n v="3290"/>
    <x v="59"/>
    <x v="1"/>
    <d v="2024-04-25T00:00:00"/>
    <s v="Yes"/>
    <x v="1"/>
    <x v="2"/>
    <s v="No"/>
    <s v="-"/>
    <s v="No"/>
    <n v="0"/>
    <n v="0"/>
    <n v="5"/>
  </r>
  <r>
    <n v="3291"/>
    <x v="60"/>
    <x v="0"/>
    <d v="2024-04-26T00:00:00"/>
    <s v="No"/>
    <x v="0"/>
    <x v="0"/>
    <s v="Yes"/>
    <n v="30"/>
    <s v="Yes"/>
    <n v="20"/>
    <n v="5"/>
    <n v="60"/>
  </r>
  <r>
    <n v="3292"/>
    <x v="61"/>
    <x v="2"/>
    <d v="2024-04-27T00:00:00"/>
    <s v="Yes"/>
    <x v="2"/>
    <x v="1"/>
    <s v="No"/>
    <s v="-"/>
    <s v="Yes"/>
    <n v="20"/>
    <n v="15"/>
    <n v="15"/>
  </r>
  <r>
    <n v="3293"/>
    <x v="62"/>
    <x v="1"/>
    <d v="2024-04-28T00:00:00"/>
    <s v="No"/>
    <x v="1"/>
    <x v="0"/>
    <s v="No"/>
    <s v="-"/>
    <s v="No"/>
    <n v="0"/>
    <n v="1"/>
    <n v="4"/>
  </r>
  <r>
    <n v="3294"/>
    <x v="63"/>
    <x v="0"/>
    <d v="2024-04-29T00:00:00"/>
    <s v="Yes"/>
    <x v="0"/>
    <x v="2"/>
    <s v="Yes"/>
    <n v="30"/>
    <s v="Yes"/>
    <n v="20"/>
    <n v="20"/>
    <n v="45"/>
  </r>
  <r>
    <n v="3295"/>
    <x v="64"/>
    <x v="2"/>
    <d v="2024-04-30T00:00:00"/>
    <s v="No"/>
    <x v="2"/>
    <x v="0"/>
    <s v="No"/>
    <s v="-"/>
    <s v="Yes"/>
    <n v="20"/>
    <n v="5"/>
    <n v="25"/>
  </r>
  <r>
    <n v="3296"/>
    <x v="65"/>
    <x v="1"/>
    <d v="2024-05-01T00:00:00"/>
    <s v="No"/>
    <x v="1"/>
    <x v="0"/>
    <s v="No"/>
    <s v="-"/>
    <s v="No"/>
    <n v="0"/>
    <n v="0"/>
    <n v="5"/>
  </r>
  <r>
    <n v="3297"/>
    <x v="66"/>
    <x v="0"/>
    <d v="2024-05-02T00:00:00"/>
    <s v="Yes"/>
    <x v="0"/>
    <x v="2"/>
    <s v="Yes"/>
    <n v="30"/>
    <s v="Yes"/>
    <n v="20"/>
    <n v="7"/>
    <n v="58"/>
  </r>
  <r>
    <n v="3298"/>
    <x v="67"/>
    <x v="2"/>
    <d v="2024-05-03T00:00:00"/>
    <s v="No"/>
    <x v="2"/>
    <x v="1"/>
    <s v="No"/>
    <s v="-"/>
    <s v="Yes"/>
    <n v="20"/>
    <n v="10"/>
    <n v="20"/>
  </r>
  <r>
    <n v="3299"/>
    <x v="68"/>
    <x v="1"/>
    <d v="2024-05-04T00:00:00"/>
    <s v="Yes"/>
    <x v="1"/>
    <x v="2"/>
    <s v="No"/>
    <s v="-"/>
    <s v="No"/>
    <n v="0"/>
    <n v="1"/>
    <n v="4"/>
  </r>
  <r>
    <n v="3300"/>
    <x v="69"/>
    <x v="0"/>
    <d v="2024-05-05T00:00:00"/>
    <s v="No"/>
    <x v="0"/>
    <x v="0"/>
    <s v="Yes"/>
    <n v="30"/>
    <s v="Yes"/>
    <n v="20"/>
    <n v="15"/>
    <n v="50"/>
  </r>
  <r>
    <n v="3301"/>
    <x v="70"/>
    <x v="2"/>
    <d v="2024-05-06T00:00:00"/>
    <s v="Yes"/>
    <x v="2"/>
    <x v="0"/>
    <s v="No"/>
    <s v="-"/>
    <s v="Yes"/>
    <n v="20"/>
    <n v="5"/>
    <n v="25"/>
  </r>
  <r>
    <n v="3302"/>
    <x v="71"/>
    <x v="1"/>
    <d v="2024-05-07T00:00:00"/>
    <s v="No"/>
    <x v="1"/>
    <x v="1"/>
    <s v="No"/>
    <s v="-"/>
    <s v="No"/>
    <n v="0"/>
    <n v="0"/>
    <n v="5"/>
  </r>
  <r>
    <n v="3303"/>
    <x v="72"/>
    <x v="0"/>
    <d v="2024-05-08T00:00:00"/>
    <s v="Yes"/>
    <x v="0"/>
    <x v="2"/>
    <s v="Yes"/>
    <n v="30"/>
    <s v="Yes"/>
    <n v="20"/>
    <n v="20"/>
    <n v="45"/>
  </r>
  <r>
    <n v="3304"/>
    <x v="73"/>
    <x v="2"/>
    <d v="2024-05-09T00:00:00"/>
    <s v="No"/>
    <x v="2"/>
    <x v="2"/>
    <s v="No"/>
    <s v="-"/>
    <s v="Yes"/>
    <n v="20"/>
    <n v="12"/>
    <n v="18"/>
  </r>
  <r>
    <n v="3305"/>
    <x v="74"/>
    <x v="1"/>
    <d v="2024-05-10T00:00:00"/>
    <s v="Yes"/>
    <x v="1"/>
    <x v="0"/>
    <s v="No"/>
    <s v="-"/>
    <s v="No"/>
    <n v="0"/>
    <n v="2"/>
    <n v="3"/>
  </r>
  <r>
    <n v="3306"/>
    <x v="75"/>
    <x v="0"/>
    <d v="2024-05-11T00:00:00"/>
    <s v="No"/>
    <x v="0"/>
    <x v="1"/>
    <s v="Yes"/>
    <n v="30"/>
    <s v="Yes"/>
    <n v="20"/>
    <n v="5"/>
    <n v="60"/>
  </r>
  <r>
    <n v="3307"/>
    <x v="76"/>
    <x v="2"/>
    <d v="2024-05-12T00:00:00"/>
    <s v="Yes"/>
    <x v="2"/>
    <x v="0"/>
    <s v="No"/>
    <s v="-"/>
    <s v="Yes"/>
    <n v="20"/>
    <n v="10"/>
    <n v="20"/>
  </r>
  <r>
    <n v="3308"/>
    <x v="77"/>
    <x v="1"/>
    <d v="2024-05-13T00:00:00"/>
    <s v="No"/>
    <x v="1"/>
    <x v="2"/>
    <s v="No"/>
    <s v="-"/>
    <s v="No"/>
    <n v="0"/>
    <n v="0"/>
    <n v="5"/>
  </r>
  <r>
    <n v="3309"/>
    <x v="78"/>
    <x v="0"/>
    <d v="2024-05-14T00:00:00"/>
    <s v="Yes"/>
    <x v="0"/>
    <x v="0"/>
    <s v="Yes"/>
    <n v="30"/>
    <s v="Yes"/>
    <n v="20"/>
    <n v="3"/>
    <n v="62"/>
  </r>
  <r>
    <n v="3310"/>
    <x v="79"/>
    <x v="2"/>
    <d v="2024-05-15T00:00:00"/>
    <s v="No"/>
    <x v="2"/>
    <x v="1"/>
    <s v="No"/>
    <s v="-"/>
    <s v="Yes"/>
    <n v="20"/>
    <n v="15"/>
    <n v="15"/>
  </r>
  <r>
    <n v="3311"/>
    <x v="80"/>
    <x v="1"/>
    <d v="2024-05-16T00:00:00"/>
    <s v="Yes"/>
    <x v="1"/>
    <x v="0"/>
    <s v="No"/>
    <s v="-"/>
    <s v="No"/>
    <n v="0"/>
    <n v="1"/>
    <n v="4"/>
  </r>
  <r>
    <n v="3312"/>
    <x v="81"/>
    <x v="0"/>
    <d v="2024-05-17T00:00:00"/>
    <s v="No"/>
    <x v="0"/>
    <x v="2"/>
    <s v="Yes"/>
    <n v="30"/>
    <s v="Yes"/>
    <n v="20"/>
    <n v="7"/>
    <n v="58"/>
  </r>
  <r>
    <n v="3313"/>
    <x v="82"/>
    <x v="2"/>
    <d v="2024-05-18T00:00:00"/>
    <s v="Yes"/>
    <x v="2"/>
    <x v="0"/>
    <s v="No"/>
    <s v="-"/>
    <s v="Yes"/>
    <n v="20"/>
    <n v="10"/>
    <n v="20"/>
  </r>
  <r>
    <n v="3314"/>
    <x v="83"/>
    <x v="1"/>
    <d v="2024-05-19T00:00:00"/>
    <s v="No"/>
    <x v="1"/>
    <x v="1"/>
    <s v="No"/>
    <s v="-"/>
    <s v="No"/>
    <n v="0"/>
    <n v="0"/>
    <n v="5"/>
  </r>
  <r>
    <n v="3315"/>
    <x v="84"/>
    <x v="0"/>
    <d v="2024-05-20T00:00:00"/>
    <s v="Yes"/>
    <x v="0"/>
    <x v="0"/>
    <s v="Yes"/>
    <n v="30"/>
    <s v="Yes"/>
    <n v="20"/>
    <n v="20"/>
    <n v="45"/>
  </r>
  <r>
    <n v="3316"/>
    <x v="85"/>
    <x v="2"/>
    <d v="2024-05-21T00:00:00"/>
    <s v="No"/>
    <x v="2"/>
    <x v="2"/>
    <s v="No"/>
    <s v="-"/>
    <s v="Yes"/>
    <n v="20"/>
    <n v="15"/>
    <n v="15"/>
  </r>
  <r>
    <n v="3317"/>
    <x v="86"/>
    <x v="1"/>
    <d v="2024-05-22T00:00:00"/>
    <s v="Yes"/>
    <x v="1"/>
    <x v="0"/>
    <s v="No"/>
    <s v="-"/>
    <s v="No"/>
    <n v="0"/>
    <n v="1"/>
    <n v="4"/>
  </r>
  <r>
    <n v="3318"/>
    <x v="87"/>
    <x v="0"/>
    <d v="2024-05-23T00:00:00"/>
    <s v="No"/>
    <x v="0"/>
    <x v="1"/>
    <s v="Yes"/>
    <n v="30"/>
    <s v="Yes"/>
    <n v="20"/>
    <n v="3"/>
    <n v="62"/>
  </r>
  <r>
    <n v="3319"/>
    <x v="88"/>
    <x v="2"/>
    <d v="2024-05-24T00:00:00"/>
    <s v="Yes"/>
    <x v="2"/>
    <x v="0"/>
    <s v="No"/>
    <s v="-"/>
    <s v="Yes"/>
    <n v="20"/>
    <n v="10"/>
    <n v="20"/>
  </r>
  <r>
    <n v="3320"/>
    <x v="89"/>
    <x v="1"/>
    <d v="2024-05-25T00:00:00"/>
    <s v="No"/>
    <x v="1"/>
    <x v="2"/>
    <s v="No"/>
    <s v="-"/>
    <s v="No"/>
    <n v="0"/>
    <n v="0"/>
    <n v="5"/>
  </r>
  <r>
    <n v="3321"/>
    <x v="90"/>
    <x v="0"/>
    <d v="2024-05-26T00:00:00"/>
    <s v="Yes"/>
    <x v="0"/>
    <x v="0"/>
    <s v="Yes"/>
    <n v="30"/>
    <s v="Yes"/>
    <n v="20"/>
    <n v="5"/>
    <n v="60"/>
  </r>
  <r>
    <n v="3322"/>
    <x v="91"/>
    <x v="2"/>
    <d v="2024-05-27T00:00:00"/>
    <s v="No"/>
    <x v="2"/>
    <x v="1"/>
    <s v="No"/>
    <s v="-"/>
    <s v="Yes"/>
    <n v="20"/>
    <n v="15"/>
    <n v="15"/>
  </r>
  <r>
    <n v="3323"/>
    <x v="92"/>
    <x v="1"/>
    <d v="2024-05-28T00:00:00"/>
    <s v="Yes"/>
    <x v="1"/>
    <x v="0"/>
    <s v="No"/>
    <s v="-"/>
    <s v="No"/>
    <n v="0"/>
    <n v="1"/>
    <n v="4"/>
  </r>
  <r>
    <n v="3324"/>
    <x v="93"/>
    <x v="0"/>
    <d v="2024-05-29T00:00:00"/>
    <s v="No"/>
    <x v="0"/>
    <x v="2"/>
    <s v="Yes"/>
    <n v="30"/>
    <s v="Yes"/>
    <n v="20"/>
    <n v="20"/>
    <n v="45"/>
  </r>
  <r>
    <n v="3325"/>
    <x v="94"/>
    <x v="2"/>
    <d v="2024-05-30T00:00:00"/>
    <s v="Yes"/>
    <x v="2"/>
    <x v="2"/>
    <s v="No"/>
    <s v="-"/>
    <s v="Yes"/>
    <n v="20"/>
    <n v="15"/>
    <n v="15"/>
  </r>
  <r>
    <n v="3326"/>
    <x v="95"/>
    <x v="1"/>
    <d v="2024-05-31T00:00:00"/>
    <s v="No"/>
    <x v="1"/>
    <x v="1"/>
    <s v="No"/>
    <s v="-"/>
    <s v="No"/>
    <n v="0"/>
    <n v="0"/>
    <n v="5"/>
  </r>
  <r>
    <n v="3327"/>
    <x v="96"/>
    <x v="0"/>
    <d v="2024-06-01T00:00:00"/>
    <s v="Yes"/>
    <x v="0"/>
    <x v="0"/>
    <s v="Yes"/>
    <n v="30"/>
    <s v="Yes"/>
    <n v="20"/>
    <n v="7"/>
    <n v="58"/>
  </r>
  <r>
    <n v="3328"/>
    <x v="97"/>
    <x v="2"/>
    <d v="2024-06-02T00:00:00"/>
    <s v="No"/>
    <x v="2"/>
    <x v="1"/>
    <s v="No"/>
    <s v="-"/>
    <s v="Yes"/>
    <n v="20"/>
    <n v="10"/>
    <n v="20"/>
  </r>
  <r>
    <n v="3329"/>
    <x v="98"/>
    <x v="1"/>
    <d v="2024-06-03T00:00:00"/>
    <s v="Yes"/>
    <x v="1"/>
    <x v="2"/>
    <s v="No"/>
    <s v="-"/>
    <s v="No"/>
    <n v="0"/>
    <n v="1"/>
    <n v="4"/>
  </r>
  <r>
    <n v="3330"/>
    <x v="99"/>
    <x v="0"/>
    <d v="2024-06-04T00:00:00"/>
    <s v="No"/>
    <x v="0"/>
    <x v="0"/>
    <s v="Yes"/>
    <n v="30"/>
    <s v="Yes"/>
    <n v="20"/>
    <n v="15"/>
    <n v="50"/>
  </r>
  <r>
    <n v="3331"/>
    <x v="100"/>
    <x v="2"/>
    <d v="2024-06-05T00:00:00"/>
    <s v="Yes"/>
    <x v="2"/>
    <x v="0"/>
    <s v="No"/>
    <s v="-"/>
    <s v="Yes"/>
    <n v="20"/>
    <n v="5"/>
    <n v="25"/>
  </r>
  <r>
    <n v="3332"/>
    <x v="101"/>
    <x v="1"/>
    <d v="2024-06-06T00:00:00"/>
    <s v="No"/>
    <x v="1"/>
    <x v="1"/>
    <s v="No"/>
    <s v="-"/>
    <s v="No"/>
    <n v="0"/>
    <n v="0"/>
    <n v="5"/>
  </r>
  <r>
    <n v="3333"/>
    <x v="102"/>
    <x v="0"/>
    <d v="2024-06-07T00:00:00"/>
    <s v="Yes"/>
    <x v="0"/>
    <x v="2"/>
    <s v="Yes"/>
    <n v="30"/>
    <s v="Yes"/>
    <n v="20"/>
    <n v="20"/>
    <n v="45"/>
  </r>
  <r>
    <n v="3334"/>
    <x v="103"/>
    <x v="2"/>
    <d v="2024-06-08T00:00:00"/>
    <s v="No"/>
    <x v="2"/>
    <x v="2"/>
    <s v="No"/>
    <s v="-"/>
    <s v="Yes"/>
    <n v="20"/>
    <n v="12"/>
    <n v="18"/>
  </r>
  <r>
    <n v="3335"/>
    <x v="104"/>
    <x v="1"/>
    <d v="2024-06-09T00:00:00"/>
    <s v="Yes"/>
    <x v="1"/>
    <x v="0"/>
    <s v="No"/>
    <s v="-"/>
    <s v="No"/>
    <n v="0"/>
    <n v="2"/>
    <n v="3"/>
  </r>
  <r>
    <n v="3336"/>
    <x v="105"/>
    <x v="1"/>
    <d v="2024-06-10T00:00:00"/>
    <s v="Yes"/>
    <x v="1"/>
    <x v="0"/>
    <s v="No"/>
    <s v="-"/>
    <s v="No"/>
    <n v="0"/>
    <n v="0"/>
    <n v="5"/>
  </r>
  <r>
    <n v="3337"/>
    <x v="106"/>
    <x v="0"/>
    <d v="2024-06-11T00:00:00"/>
    <s v="No"/>
    <x v="0"/>
    <x v="2"/>
    <s v="Yes"/>
    <n v="30"/>
    <s v="Yes"/>
    <n v="20"/>
    <n v="7"/>
    <n v="58"/>
  </r>
  <r>
    <n v="3338"/>
    <x v="107"/>
    <x v="2"/>
    <d v="2024-06-12T00:00:00"/>
    <s v="Yes"/>
    <x v="2"/>
    <x v="1"/>
    <s v="No"/>
    <s v="-"/>
    <s v="Yes"/>
    <n v="20"/>
    <n v="10"/>
    <n v="20"/>
  </r>
  <r>
    <n v="3339"/>
    <x v="108"/>
    <x v="1"/>
    <d v="2024-06-13T00:00:00"/>
    <s v="No"/>
    <x v="1"/>
    <x v="2"/>
    <s v="No"/>
    <s v="-"/>
    <s v="No"/>
    <n v="0"/>
    <n v="1"/>
    <n v="4"/>
  </r>
  <r>
    <n v="3340"/>
    <x v="109"/>
    <x v="0"/>
    <d v="2024-06-14T00:00:00"/>
    <s v="Yes"/>
    <x v="0"/>
    <x v="0"/>
    <s v="Yes"/>
    <n v="30"/>
    <s v="Yes"/>
    <n v="20"/>
    <n v="15"/>
    <n v="50"/>
  </r>
  <r>
    <n v="3341"/>
    <x v="110"/>
    <x v="2"/>
    <d v="2024-06-15T00:00:00"/>
    <s v="No"/>
    <x v="2"/>
    <x v="0"/>
    <s v="No"/>
    <s v="-"/>
    <s v="Yes"/>
    <n v="20"/>
    <n v="5"/>
    <n v="25"/>
  </r>
  <r>
    <n v="3342"/>
    <x v="111"/>
    <x v="1"/>
    <d v="2024-06-16T00:00:00"/>
    <s v="Yes"/>
    <x v="1"/>
    <x v="1"/>
    <s v="No"/>
    <s v="-"/>
    <s v="No"/>
    <n v="0"/>
    <n v="0"/>
    <n v="5"/>
  </r>
  <r>
    <n v="3343"/>
    <x v="112"/>
    <x v="0"/>
    <d v="2024-06-17T00:00:00"/>
    <s v="No"/>
    <x v="0"/>
    <x v="2"/>
    <s v="Yes"/>
    <n v="30"/>
    <s v="Yes"/>
    <n v="20"/>
    <n v="20"/>
    <n v="45"/>
  </r>
  <r>
    <n v="3344"/>
    <x v="113"/>
    <x v="2"/>
    <d v="2024-06-18T00:00:00"/>
    <s v="Yes"/>
    <x v="2"/>
    <x v="2"/>
    <s v="No"/>
    <s v="-"/>
    <s v="Yes"/>
    <n v="20"/>
    <n v="12"/>
    <n v="18"/>
  </r>
  <r>
    <n v="3345"/>
    <x v="114"/>
    <x v="1"/>
    <d v="2024-06-19T00:00:00"/>
    <s v="No"/>
    <x v="1"/>
    <x v="0"/>
    <s v="No"/>
    <s v="-"/>
    <s v="No"/>
    <n v="0"/>
    <n v="2"/>
    <n v="3"/>
  </r>
  <r>
    <n v="3346"/>
    <x v="115"/>
    <x v="0"/>
    <d v="2024-06-20T00:00:00"/>
    <s v="Yes"/>
    <x v="0"/>
    <x v="1"/>
    <s v="Yes"/>
    <n v="30"/>
    <s v="Yes"/>
    <n v="20"/>
    <n v="5"/>
    <n v="60"/>
  </r>
  <r>
    <n v="3347"/>
    <x v="116"/>
    <x v="2"/>
    <d v="2024-06-21T00:00:00"/>
    <s v="No"/>
    <x v="2"/>
    <x v="0"/>
    <s v="No"/>
    <s v="-"/>
    <s v="Yes"/>
    <n v="20"/>
    <n v="10"/>
    <n v="20"/>
  </r>
  <r>
    <n v="3348"/>
    <x v="117"/>
    <x v="1"/>
    <d v="2024-06-22T00:00:00"/>
    <s v="Yes"/>
    <x v="1"/>
    <x v="2"/>
    <s v="No"/>
    <s v="-"/>
    <s v="No"/>
    <n v="0"/>
    <n v="0"/>
    <n v="5"/>
  </r>
  <r>
    <n v="3349"/>
    <x v="93"/>
    <x v="0"/>
    <d v="2024-06-23T00:00:00"/>
    <s v="No"/>
    <x v="0"/>
    <x v="0"/>
    <s v="Yes"/>
    <n v="30"/>
    <s v="Yes"/>
    <n v="20"/>
    <n v="3"/>
    <n v="62"/>
  </r>
  <r>
    <n v="3350"/>
    <x v="118"/>
    <x v="2"/>
    <d v="2024-06-24T00:00:00"/>
    <s v="Yes"/>
    <x v="2"/>
    <x v="1"/>
    <s v="No"/>
    <s v="-"/>
    <s v="Yes"/>
    <n v="20"/>
    <n v="15"/>
    <n v="15"/>
  </r>
  <r>
    <n v="3351"/>
    <x v="119"/>
    <x v="1"/>
    <d v="2024-06-25T00:00:00"/>
    <s v="No"/>
    <x v="1"/>
    <x v="0"/>
    <s v="No"/>
    <s v="-"/>
    <s v="No"/>
    <n v="0"/>
    <n v="1"/>
    <n v="4"/>
  </r>
  <r>
    <n v="3352"/>
    <x v="120"/>
    <x v="0"/>
    <d v="2024-06-26T00:00:00"/>
    <s v="Yes"/>
    <x v="0"/>
    <x v="2"/>
    <s v="Yes"/>
    <n v="30"/>
    <s v="Yes"/>
    <n v="20"/>
    <n v="7"/>
    <n v="58"/>
  </r>
  <r>
    <n v="3353"/>
    <x v="121"/>
    <x v="2"/>
    <d v="2024-06-27T00:00:00"/>
    <s v="No"/>
    <x v="2"/>
    <x v="0"/>
    <s v="No"/>
    <s v="-"/>
    <s v="Yes"/>
    <n v="20"/>
    <n v="10"/>
    <n v="20"/>
  </r>
  <r>
    <n v="3354"/>
    <x v="122"/>
    <x v="1"/>
    <d v="2024-06-28T00:00:00"/>
    <s v="Yes"/>
    <x v="1"/>
    <x v="1"/>
    <s v="No"/>
    <s v="-"/>
    <s v="No"/>
    <n v="0"/>
    <n v="0"/>
    <n v="5"/>
  </r>
  <r>
    <n v="3355"/>
    <x v="123"/>
    <x v="0"/>
    <d v="2024-06-29T00:00:00"/>
    <s v="No"/>
    <x v="0"/>
    <x v="0"/>
    <s v="Yes"/>
    <n v="30"/>
    <s v="Yes"/>
    <n v="20"/>
    <n v="20"/>
    <n v="45"/>
  </r>
  <r>
    <n v="3356"/>
    <x v="124"/>
    <x v="2"/>
    <d v="2024-06-30T00:00:00"/>
    <s v="Yes"/>
    <x v="2"/>
    <x v="2"/>
    <s v="No"/>
    <s v="-"/>
    <s v="Yes"/>
    <n v="20"/>
    <n v="15"/>
    <n v="15"/>
  </r>
  <r>
    <n v="3357"/>
    <x v="125"/>
    <x v="1"/>
    <d v="2024-07-01T00:00:00"/>
    <s v="No"/>
    <x v="1"/>
    <x v="0"/>
    <s v="No"/>
    <s v="-"/>
    <s v="No"/>
    <n v="0"/>
    <n v="1"/>
    <n v="4"/>
  </r>
  <r>
    <n v="3358"/>
    <x v="126"/>
    <x v="0"/>
    <d v="2024-07-02T00:00:00"/>
    <s v="Yes"/>
    <x v="0"/>
    <x v="1"/>
    <s v="Yes"/>
    <n v="30"/>
    <s v="Yes"/>
    <n v="20"/>
    <n v="3"/>
    <n v="62"/>
  </r>
  <r>
    <n v="3359"/>
    <x v="127"/>
    <x v="2"/>
    <d v="2024-07-03T00:00:00"/>
    <s v="No"/>
    <x v="2"/>
    <x v="0"/>
    <s v="No"/>
    <s v="-"/>
    <s v="Yes"/>
    <n v="20"/>
    <n v="10"/>
    <n v="20"/>
  </r>
  <r>
    <n v="3360"/>
    <x v="128"/>
    <x v="1"/>
    <d v="2024-07-04T00:00:00"/>
    <s v="Yes"/>
    <x v="1"/>
    <x v="2"/>
    <s v="No"/>
    <s v="-"/>
    <s v="No"/>
    <n v="0"/>
    <n v="0"/>
    <n v="5"/>
  </r>
  <r>
    <n v="3361"/>
    <x v="129"/>
    <x v="0"/>
    <d v="2024-07-05T00:00:00"/>
    <s v="No"/>
    <x v="0"/>
    <x v="0"/>
    <s v="Yes"/>
    <n v="30"/>
    <s v="Yes"/>
    <n v="20"/>
    <n v="15"/>
    <n v="50"/>
  </r>
  <r>
    <n v="3362"/>
    <x v="130"/>
    <x v="2"/>
    <d v="2024-07-06T00:00:00"/>
    <s v="Yes"/>
    <x v="2"/>
    <x v="1"/>
    <s v="No"/>
    <s v="-"/>
    <s v="Yes"/>
    <n v="20"/>
    <n v="15"/>
    <n v="15"/>
  </r>
  <r>
    <n v="3363"/>
    <x v="131"/>
    <x v="1"/>
    <d v="2024-07-07T00:00:00"/>
    <s v="No"/>
    <x v="1"/>
    <x v="0"/>
    <s v="No"/>
    <s v="-"/>
    <s v="No"/>
    <n v="0"/>
    <n v="1"/>
    <n v="4"/>
  </r>
  <r>
    <n v="3364"/>
    <x v="132"/>
    <x v="0"/>
    <d v="2024-07-08T00:00:00"/>
    <s v="Yes"/>
    <x v="0"/>
    <x v="2"/>
    <s v="Yes"/>
    <n v="30"/>
    <s v="Yes"/>
    <n v="20"/>
    <n v="7"/>
    <n v="58"/>
  </r>
  <r>
    <n v="3365"/>
    <x v="133"/>
    <x v="2"/>
    <d v="2024-07-09T00:00:00"/>
    <s v="No"/>
    <x v="2"/>
    <x v="0"/>
    <s v="No"/>
    <s v="-"/>
    <s v="Yes"/>
    <n v="20"/>
    <n v="10"/>
    <n v="20"/>
  </r>
  <r>
    <n v="3366"/>
    <x v="134"/>
    <x v="1"/>
    <d v="2024-07-10T00:00:00"/>
    <s v="Yes"/>
    <x v="1"/>
    <x v="0"/>
    <s v="No"/>
    <s v="-"/>
    <s v="No"/>
    <n v="0"/>
    <n v="0"/>
    <n v="5"/>
  </r>
  <r>
    <n v="3367"/>
    <x v="135"/>
    <x v="0"/>
    <d v="2024-07-11T00:00:00"/>
    <s v="No"/>
    <x v="0"/>
    <x v="2"/>
    <s v="Yes"/>
    <n v="30"/>
    <s v="Yes"/>
    <n v="20"/>
    <n v="7"/>
    <n v="58"/>
  </r>
  <r>
    <n v="3368"/>
    <x v="136"/>
    <x v="2"/>
    <d v="2024-07-12T00:00:00"/>
    <s v="Yes"/>
    <x v="2"/>
    <x v="1"/>
    <s v="No"/>
    <s v="-"/>
    <s v="Yes"/>
    <n v="20"/>
    <n v="10"/>
    <n v="20"/>
  </r>
  <r>
    <n v="3369"/>
    <x v="137"/>
    <x v="1"/>
    <d v="2024-07-13T00:00:00"/>
    <s v="No"/>
    <x v="1"/>
    <x v="2"/>
    <s v="No"/>
    <s v="-"/>
    <s v="No"/>
    <n v="0"/>
    <n v="1"/>
    <n v="4"/>
  </r>
  <r>
    <n v="3370"/>
    <x v="138"/>
    <x v="0"/>
    <d v="2024-07-14T00:00:00"/>
    <s v="Yes"/>
    <x v="0"/>
    <x v="0"/>
    <s v="Yes"/>
    <n v="30"/>
    <s v="Yes"/>
    <n v="20"/>
    <n v="15"/>
    <n v="50"/>
  </r>
  <r>
    <n v="3371"/>
    <x v="139"/>
    <x v="2"/>
    <d v="2024-07-15T00:00:00"/>
    <s v="No"/>
    <x v="2"/>
    <x v="0"/>
    <s v="No"/>
    <s v="-"/>
    <s v="Yes"/>
    <n v="20"/>
    <n v="5"/>
    <n v="25"/>
  </r>
  <r>
    <n v="3372"/>
    <x v="140"/>
    <x v="1"/>
    <d v="2024-07-16T00:00:00"/>
    <s v="Yes"/>
    <x v="1"/>
    <x v="1"/>
    <s v="No"/>
    <s v="-"/>
    <s v="No"/>
    <n v="0"/>
    <n v="0"/>
    <n v="5"/>
  </r>
  <r>
    <n v="3373"/>
    <x v="141"/>
    <x v="0"/>
    <d v="2024-07-17T00:00:00"/>
    <s v="No"/>
    <x v="0"/>
    <x v="2"/>
    <s v="Yes"/>
    <n v="30"/>
    <s v="Yes"/>
    <n v="20"/>
    <n v="20"/>
    <n v="45"/>
  </r>
  <r>
    <n v="3374"/>
    <x v="142"/>
    <x v="2"/>
    <d v="2024-07-18T00:00:00"/>
    <s v="Yes"/>
    <x v="2"/>
    <x v="2"/>
    <s v="No"/>
    <s v="-"/>
    <s v="Yes"/>
    <n v="20"/>
    <n v="12"/>
    <n v="18"/>
  </r>
  <r>
    <n v="3375"/>
    <x v="143"/>
    <x v="1"/>
    <d v="2024-07-19T00:00:00"/>
    <s v="No"/>
    <x v="1"/>
    <x v="0"/>
    <s v="No"/>
    <s v="-"/>
    <s v="No"/>
    <n v="0"/>
    <n v="2"/>
    <n v="3"/>
  </r>
  <r>
    <n v="3376"/>
    <x v="144"/>
    <x v="0"/>
    <d v="2024-07-20T00:00:00"/>
    <s v="Yes"/>
    <x v="0"/>
    <x v="1"/>
    <s v="Yes"/>
    <n v="30"/>
    <s v="Yes"/>
    <n v="20"/>
    <n v="5"/>
    <n v="60"/>
  </r>
  <r>
    <n v="3377"/>
    <x v="145"/>
    <x v="2"/>
    <d v="2024-07-21T00:00:00"/>
    <s v="No"/>
    <x v="2"/>
    <x v="0"/>
    <s v="No"/>
    <s v="-"/>
    <s v="Yes"/>
    <n v="20"/>
    <n v="10"/>
    <n v="20"/>
  </r>
  <r>
    <n v="3378"/>
    <x v="146"/>
    <x v="1"/>
    <d v="2024-07-22T00:00:00"/>
    <s v="Yes"/>
    <x v="1"/>
    <x v="2"/>
    <s v="No"/>
    <s v="-"/>
    <s v="No"/>
    <n v="0"/>
    <n v="0"/>
    <n v="5"/>
  </r>
  <r>
    <n v="3379"/>
    <x v="147"/>
    <x v="0"/>
    <d v="2024-07-23T00:00:00"/>
    <s v="No"/>
    <x v="0"/>
    <x v="0"/>
    <s v="Yes"/>
    <n v="30"/>
    <s v="Yes"/>
    <n v="20"/>
    <n v="3"/>
    <n v="62"/>
  </r>
  <r>
    <n v="3380"/>
    <x v="148"/>
    <x v="2"/>
    <d v="2024-07-24T00:00:00"/>
    <s v="Yes"/>
    <x v="2"/>
    <x v="1"/>
    <s v="No"/>
    <s v="-"/>
    <s v="Yes"/>
    <n v="20"/>
    <n v="15"/>
    <n v="15"/>
  </r>
  <r>
    <n v="3381"/>
    <x v="149"/>
    <x v="1"/>
    <d v="2024-07-25T00:00:00"/>
    <s v="No"/>
    <x v="1"/>
    <x v="0"/>
    <s v="No"/>
    <s v="-"/>
    <s v="No"/>
    <n v="0"/>
    <n v="1"/>
    <n v="4"/>
  </r>
  <r>
    <n v="3382"/>
    <x v="150"/>
    <x v="0"/>
    <d v="2024-07-26T00:00:00"/>
    <s v="Yes"/>
    <x v="0"/>
    <x v="2"/>
    <s v="Yes"/>
    <n v="30"/>
    <s v="Yes"/>
    <n v="20"/>
    <n v="7"/>
    <n v="58"/>
  </r>
  <r>
    <n v="3383"/>
    <x v="151"/>
    <x v="2"/>
    <d v="2024-07-27T00:00:00"/>
    <s v="No"/>
    <x v="2"/>
    <x v="0"/>
    <s v="No"/>
    <s v="-"/>
    <s v="Yes"/>
    <n v="20"/>
    <n v="10"/>
    <n v="20"/>
  </r>
  <r>
    <n v="3384"/>
    <x v="152"/>
    <x v="1"/>
    <d v="2024-07-28T00:00:00"/>
    <s v="Yes"/>
    <x v="1"/>
    <x v="1"/>
    <s v="No"/>
    <s v="-"/>
    <s v="No"/>
    <n v="0"/>
    <n v="0"/>
    <n v="5"/>
  </r>
  <r>
    <n v="3385"/>
    <x v="153"/>
    <x v="0"/>
    <d v="2024-07-29T00:00:00"/>
    <s v="No"/>
    <x v="0"/>
    <x v="0"/>
    <s v="Yes"/>
    <n v="30"/>
    <s v="Yes"/>
    <n v="20"/>
    <n v="20"/>
    <n v="45"/>
  </r>
  <r>
    <n v="3386"/>
    <x v="154"/>
    <x v="2"/>
    <d v="2024-07-30T00:00:00"/>
    <s v="Yes"/>
    <x v="2"/>
    <x v="2"/>
    <s v="No"/>
    <s v="-"/>
    <s v="Yes"/>
    <n v="20"/>
    <n v="15"/>
    <n v="15"/>
  </r>
  <r>
    <n v="3387"/>
    <x v="155"/>
    <x v="1"/>
    <d v="2024-07-31T00:00:00"/>
    <s v="No"/>
    <x v="1"/>
    <x v="0"/>
    <s v="No"/>
    <s v="-"/>
    <s v="No"/>
    <n v="0"/>
    <n v="1"/>
    <n v="4"/>
  </r>
  <r>
    <n v="3388"/>
    <x v="156"/>
    <x v="0"/>
    <d v="2024-08-01T00:00:00"/>
    <s v="Yes"/>
    <x v="0"/>
    <x v="1"/>
    <s v="Yes"/>
    <n v="30"/>
    <s v="Yes"/>
    <n v="20"/>
    <n v="3"/>
    <n v="62"/>
  </r>
  <r>
    <n v="3389"/>
    <x v="157"/>
    <x v="2"/>
    <d v="2024-08-02T00:00:00"/>
    <s v="No"/>
    <x v="2"/>
    <x v="0"/>
    <s v="No"/>
    <s v="-"/>
    <s v="Yes"/>
    <n v="20"/>
    <n v="10"/>
    <n v="20"/>
  </r>
  <r>
    <n v="3390"/>
    <x v="158"/>
    <x v="1"/>
    <d v="2024-08-03T00:00:00"/>
    <s v="Yes"/>
    <x v="1"/>
    <x v="2"/>
    <s v="No"/>
    <s v="-"/>
    <s v="No"/>
    <n v="0"/>
    <n v="0"/>
    <n v="5"/>
  </r>
  <r>
    <n v="3391"/>
    <x v="58"/>
    <x v="0"/>
    <d v="2024-08-04T00:00:00"/>
    <s v="No"/>
    <x v="0"/>
    <x v="0"/>
    <s v="Yes"/>
    <n v="30"/>
    <s v="Yes"/>
    <n v="20"/>
    <n v="15"/>
    <n v="50"/>
  </r>
  <r>
    <n v="3392"/>
    <x v="159"/>
    <x v="2"/>
    <d v="2024-08-05T00:00:00"/>
    <s v="Yes"/>
    <x v="2"/>
    <x v="1"/>
    <s v="No"/>
    <s v="-"/>
    <s v="Yes"/>
    <n v="20"/>
    <n v="15"/>
    <n v="15"/>
  </r>
  <r>
    <n v="3393"/>
    <x v="160"/>
    <x v="1"/>
    <d v="2024-08-06T00:00:00"/>
    <s v="No"/>
    <x v="1"/>
    <x v="0"/>
    <s v="No"/>
    <s v="-"/>
    <s v="No"/>
    <n v="0"/>
    <n v="1"/>
    <n v="4"/>
  </r>
  <r>
    <n v="3394"/>
    <x v="161"/>
    <x v="0"/>
    <d v="2024-08-07T00:00:00"/>
    <s v="Yes"/>
    <x v="0"/>
    <x v="2"/>
    <s v="Yes"/>
    <n v="30"/>
    <s v="Yes"/>
    <n v="20"/>
    <n v="7"/>
    <n v="58"/>
  </r>
  <r>
    <n v="3395"/>
    <x v="162"/>
    <x v="2"/>
    <d v="2024-08-08T00:00:00"/>
    <s v="No"/>
    <x v="2"/>
    <x v="0"/>
    <s v="No"/>
    <s v="-"/>
    <s v="Yes"/>
    <n v="20"/>
    <n v="10"/>
    <n v="20"/>
  </r>
  <r>
    <n v="3396"/>
    <x v="163"/>
    <x v="1"/>
    <d v="2024-08-09T00:00:00"/>
    <s v="Yes"/>
    <x v="1"/>
    <x v="1"/>
    <s v="No"/>
    <s v="-"/>
    <s v="No"/>
    <n v="0"/>
    <n v="0"/>
    <n v="5"/>
  </r>
  <r>
    <n v="3397"/>
    <x v="90"/>
    <x v="0"/>
    <d v="2024-08-10T00:00:00"/>
    <s v="No"/>
    <x v="0"/>
    <x v="0"/>
    <s v="Yes"/>
    <n v="30"/>
    <s v="Yes"/>
    <n v="20"/>
    <n v="20"/>
    <n v="45"/>
  </r>
  <r>
    <n v="3398"/>
    <x v="164"/>
    <x v="2"/>
    <d v="2024-08-11T00:00:00"/>
    <s v="Yes"/>
    <x v="2"/>
    <x v="2"/>
    <s v="No"/>
    <s v="-"/>
    <s v="Yes"/>
    <n v="20"/>
    <n v="15"/>
    <n v="15"/>
  </r>
  <r>
    <n v="3399"/>
    <x v="165"/>
    <x v="1"/>
    <d v="2024-08-12T00:00:00"/>
    <s v="No"/>
    <x v="1"/>
    <x v="0"/>
    <s v="No"/>
    <s v="-"/>
    <s v="No"/>
    <n v="0"/>
    <n v="1"/>
    <n v="4"/>
  </r>
  <r>
    <n v="3400"/>
    <x v="166"/>
    <x v="0"/>
    <d v="2024-08-13T00:00:00"/>
    <s v="Yes"/>
    <x v="0"/>
    <x v="1"/>
    <s v="Yes"/>
    <n v="30"/>
    <s v="Yes"/>
    <n v="20"/>
    <n v="5"/>
    <n v="60"/>
  </r>
  <r>
    <n v="3401"/>
    <x v="167"/>
    <x v="2"/>
    <d v="2024-08-14T00:00:00"/>
    <s v="No"/>
    <x v="2"/>
    <x v="0"/>
    <s v="No"/>
    <s v="-"/>
    <s v="Yes"/>
    <n v="20"/>
    <n v="10"/>
    <n v="20"/>
  </r>
  <r>
    <n v="3402"/>
    <x v="168"/>
    <x v="1"/>
    <d v="2024-08-15T00:00:00"/>
    <s v="Yes"/>
    <x v="1"/>
    <x v="2"/>
    <s v="No"/>
    <s v="-"/>
    <s v="No"/>
    <n v="0"/>
    <n v="0"/>
    <n v="5"/>
  </r>
  <r>
    <n v="3403"/>
    <x v="169"/>
    <x v="0"/>
    <d v="2024-08-16T00:00:00"/>
    <s v="No"/>
    <x v="0"/>
    <x v="0"/>
    <s v="Yes"/>
    <n v="30"/>
    <s v="Yes"/>
    <n v="20"/>
    <n v="3"/>
    <n v="62"/>
  </r>
  <r>
    <n v="3404"/>
    <x v="170"/>
    <x v="2"/>
    <d v="2024-08-17T00:00:00"/>
    <s v="Yes"/>
    <x v="2"/>
    <x v="1"/>
    <s v="No"/>
    <s v="-"/>
    <s v="Yes"/>
    <n v="20"/>
    <n v="15"/>
    <n v="15"/>
  </r>
  <r>
    <n v="3405"/>
    <x v="171"/>
    <x v="1"/>
    <d v="2024-08-18T00:00:00"/>
    <s v="No"/>
    <x v="1"/>
    <x v="0"/>
    <s v="No"/>
    <s v="-"/>
    <s v="No"/>
    <n v="0"/>
    <n v="1"/>
    <n v="4"/>
  </r>
  <r>
    <n v="3406"/>
    <x v="172"/>
    <x v="1"/>
    <d v="2024-08-19T00:00:00"/>
    <s v="Yes"/>
    <x v="1"/>
    <x v="0"/>
    <s v="No"/>
    <s v="-"/>
    <s v="No"/>
    <n v="0"/>
    <n v="0"/>
    <n v="5"/>
  </r>
  <r>
    <n v="3407"/>
    <x v="173"/>
    <x v="0"/>
    <d v="2024-08-20T00:00:00"/>
    <s v="No"/>
    <x v="0"/>
    <x v="2"/>
    <s v="Yes"/>
    <n v="30"/>
    <s v="Yes"/>
    <n v="20"/>
    <n v="7"/>
    <n v="58"/>
  </r>
  <r>
    <n v="3408"/>
    <x v="174"/>
    <x v="2"/>
    <d v="2024-08-21T00:00:00"/>
    <s v="Yes"/>
    <x v="2"/>
    <x v="1"/>
    <s v="No"/>
    <s v="-"/>
    <s v="Yes"/>
    <n v="20"/>
    <n v="10"/>
    <n v="20"/>
  </r>
  <r>
    <n v="3409"/>
    <x v="175"/>
    <x v="1"/>
    <d v="2024-08-22T00:00:00"/>
    <s v="No"/>
    <x v="1"/>
    <x v="2"/>
    <s v="No"/>
    <s v="-"/>
    <s v="No"/>
    <n v="0"/>
    <n v="1"/>
    <n v="4"/>
  </r>
  <r>
    <n v="3410"/>
    <x v="176"/>
    <x v="0"/>
    <d v="2024-08-23T00:00:00"/>
    <s v="Yes"/>
    <x v="0"/>
    <x v="0"/>
    <s v="Yes"/>
    <n v="30"/>
    <s v="Yes"/>
    <n v="20"/>
    <n v="15"/>
    <n v="50"/>
  </r>
  <r>
    <n v="3411"/>
    <x v="177"/>
    <x v="2"/>
    <d v="2024-08-24T00:00:00"/>
    <s v="No"/>
    <x v="2"/>
    <x v="0"/>
    <s v="No"/>
    <s v="-"/>
    <s v="Yes"/>
    <n v="20"/>
    <n v="5"/>
    <n v="25"/>
  </r>
  <r>
    <n v="3412"/>
    <x v="178"/>
    <x v="1"/>
    <d v="2024-08-25T00:00:00"/>
    <s v="Yes"/>
    <x v="1"/>
    <x v="1"/>
    <s v="No"/>
    <s v="-"/>
    <s v="No"/>
    <n v="0"/>
    <n v="0"/>
    <n v="5"/>
  </r>
  <r>
    <n v="3413"/>
    <x v="179"/>
    <x v="0"/>
    <d v="2024-08-26T00:00:00"/>
    <s v="No"/>
    <x v="0"/>
    <x v="2"/>
    <s v="Yes"/>
    <n v="30"/>
    <s v="Yes"/>
    <n v="20"/>
    <n v="20"/>
    <n v="45"/>
  </r>
  <r>
    <n v="3414"/>
    <x v="180"/>
    <x v="2"/>
    <d v="2024-08-27T00:00:00"/>
    <s v="Yes"/>
    <x v="2"/>
    <x v="2"/>
    <s v="No"/>
    <s v="-"/>
    <s v="Yes"/>
    <n v="20"/>
    <n v="12"/>
    <n v="18"/>
  </r>
  <r>
    <n v="3415"/>
    <x v="181"/>
    <x v="1"/>
    <d v="2024-08-28T00:00:00"/>
    <s v="No"/>
    <x v="1"/>
    <x v="0"/>
    <s v="No"/>
    <s v="-"/>
    <s v="No"/>
    <n v="0"/>
    <n v="2"/>
    <n v="3"/>
  </r>
  <r>
    <n v="3416"/>
    <x v="182"/>
    <x v="0"/>
    <d v="2024-08-29T00:00:00"/>
    <s v="Yes"/>
    <x v="0"/>
    <x v="1"/>
    <s v="Yes"/>
    <n v="30"/>
    <s v="Yes"/>
    <n v="20"/>
    <n v="5"/>
    <n v="60"/>
  </r>
  <r>
    <n v="3417"/>
    <x v="183"/>
    <x v="2"/>
    <d v="2024-08-30T00:00:00"/>
    <s v="No"/>
    <x v="2"/>
    <x v="0"/>
    <s v="No"/>
    <s v="-"/>
    <s v="Yes"/>
    <n v="20"/>
    <n v="10"/>
    <n v="20"/>
  </r>
  <r>
    <n v="3418"/>
    <x v="184"/>
    <x v="1"/>
    <d v="2024-08-31T00:00:00"/>
    <s v="Yes"/>
    <x v="1"/>
    <x v="2"/>
    <s v="No"/>
    <s v="-"/>
    <s v="No"/>
    <n v="0"/>
    <n v="0"/>
    <n v="5"/>
  </r>
  <r>
    <n v="3419"/>
    <x v="185"/>
    <x v="0"/>
    <d v="2024-09-01T00:00:00"/>
    <s v="No"/>
    <x v="0"/>
    <x v="0"/>
    <s v="Yes"/>
    <n v="30"/>
    <s v="Yes"/>
    <n v="20"/>
    <n v="3"/>
    <n v="62"/>
  </r>
  <r>
    <n v="3420"/>
    <x v="186"/>
    <x v="2"/>
    <d v="2024-09-02T00:00:00"/>
    <s v="Yes"/>
    <x v="2"/>
    <x v="1"/>
    <s v="No"/>
    <s v="-"/>
    <s v="Yes"/>
    <n v="20"/>
    <n v="15"/>
    <n v="15"/>
  </r>
  <r>
    <n v="3421"/>
    <x v="15"/>
    <x v="1"/>
    <d v="2024-09-03T00:00:00"/>
    <s v="No"/>
    <x v="1"/>
    <x v="0"/>
    <s v="No"/>
    <s v="-"/>
    <s v="No"/>
    <n v="0"/>
    <n v="1"/>
    <n v="4"/>
  </r>
  <r>
    <n v="3422"/>
    <x v="187"/>
    <x v="0"/>
    <d v="2024-09-04T00:00:00"/>
    <s v="Yes"/>
    <x v="0"/>
    <x v="2"/>
    <s v="Yes"/>
    <n v="30"/>
    <s v="Yes"/>
    <n v="20"/>
    <n v="7"/>
    <n v="58"/>
  </r>
  <r>
    <n v="3423"/>
    <x v="188"/>
    <x v="2"/>
    <d v="2024-09-05T00:00:00"/>
    <s v="No"/>
    <x v="2"/>
    <x v="0"/>
    <s v="No"/>
    <s v="-"/>
    <s v="Yes"/>
    <n v="20"/>
    <n v="10"/>
    <n v="20"/>
  </r>
  <r>
    <n v="3424"/>
    <x v="14"/>
    <x v="1"/>
    <d v="2024-09-06T00:00:00"/>
    <s v="Yes"/>
    <x v="1"/>
    <x v="1"/>
    <s v="No"/>
    <s v="-"/>
    <s v="No"/>
    <n v="0"/>
    <n v="0"/>
    <n v="5"/>
  </r>
  <r>
    <n v="3425"/>
    <x v="189"/>
    <x v="0"/>
    <d v="2024-09-07T00:00:00"/>
    <s v="No"/>
    <x v="0"/>
    <x v="0"/>
    <s v="Yes"/>
    <n v="30"/>
    <s v="Yes"/>
    <n v="20"/>
    <n v="20"/>
    <n v="45"/>
  </r>
  <r>
    <n v="3426"/>
    <x v="167"/>
    <x v="2"/>
    <d v="2024-09-08T00:00:00"/>
    <s v="Yes"/>
    <x v="2"/>
    <x v="2"/>
    <s v="No"/>
    <s v="-"/>
    <s v="Yes"/>
    <n v="20"/>
    <n v="15"/>
    <n v="15"/>
  </r>
  <r>
    <n v="3427"/>
    <x v="190"/>
    <x v="1"/>
    <d v="2024-09-09T00:00:00"/>
    <s v="No"/>
    <x v="1"/>
    <x v="0"/>
    <s v="No"/>
    <s v="-"/>
    <s v="No"/>
    <n v="0"/>
    <n v="1"/>
    <n v="4"/>
  </r>
  <r>
    <n v="3428"/>
    <x v="191"/>
    <x v="0"/>
    <d v="2024-09-10T00:00:00"/>
    <s v="Yes"/>
    <x v="0"/>
    <x v="1"/>
    <s v="Yes"/>
    <n v="30"/>
    <s v="Yes"/>
    <n v="20"/>
    <n v="3"/>
    <n v="62"/>
  </r>
  <r>
    <n v="3429"/>
    <x v="192"/>
    <x v="2"/>
    <d v="2024-09-11T00:00:00"/>
    <s v="No"/>
    <x v="2"/>
    <x v="0"/>
    <s v="No"/>
    <s v="-"/>
    <s v="Yes"/>
    <n v="20"/>
    <n v="10"/>
    <n v="20"/>
  </r>
  <r>
    <n v="3430"/>
    <x v="193"/>
    <x v="1"/>
    <d v="2024-09-12T00:00:00"/>
    <s v="Yes"/>
    <x v="1"/>
    <x v="2"/>
    <s v="No"/>
    <s v="-"/>
    <s v="No"/>
    <n v="0"/>
    <n v="0"/>
    <n v="5"/>
  </r>
  <r>
    <n v="3431"/>
    <x v="194"/>
    <x v="0"/>
    <d v="2024-09-13T00:00:00"/>
    <s v="No"/>
    <x v="0"/>
    <x v="0"/>
    <s v="Yes"/>
    <n v="30"/>
    <s v="Yes"/>
    <n v="20"/>
    <n v="15"/>
    <n v="50"/>
  </r>
  <r>
    <n v="3432"/>
    <x v="195"/>
    <x v="2"/>
    <d v="2024-09-14T00:00:00"/>
    <s v="Yes"/>
    <x v="2"/>
    <x v="1"/>
    <s v="No"/>
    <s v="-"/>
    <s v="Yes"/>
    <n v="20"/>
    <n v="15"/>
    <n v="15"/>
  </r>
  <r>
    <n v="3433"/>
    <x v="196"/>
    <x v="1"/>
    <d v="2024-09-15T00:00:00"/>
    <s v="No"/>
    <x v="1"/>
    <x v="0"/>
    <s v="No"/>
    <s v="-"/>
    <s v="No"/>
    <n v="0"/>
    <n v="1"/>
    <n v="4"/>
  </r>
  <r>
    <n v="3434"/>
    <x v="197"/>
    <x v="0"/>
    <d v="2024-09-16T00:00:00"/>
    <s v="Yes"/>
    <x v="0"/>
    <x v="2"/>
    <s v="Yes"/>
    <n v="30"/>
    <s v="Yes"/>
    <n v="20"/>
    <n v="7"/>
    <n v="58"/>
  </r>
  <r>
    <n v="3435"/>
    <x v="198"/>
    <x v="2"/>
    <d v="2024-09-17T00:00:00"/>
    <s v="No"/>
    <x v="2"/>
    <x v="0"/>
    <s v="No"/>
    <s v="-"/>
    <s v="Yes"/>
    <n v="20"/>
    <n v="10"/>
    <n v="20"/>
  </r>
  <r>
    <n v="3436"/>
    <x v="199"/>
    <x v="1"/>
    <d v="2024-09-18T00:00:00"/>
    <s v="Yes"/>
    <x v="1"/>
    <x v="0"/>
    <s v="No"/>
    <s v="-"/>
    <s v="No"/>
    <n v="0"/>
    <n v="0"/>
    <n v="5"/>
  </r>
  <r>
    <n v="3437"/>
    <x v="200"/>
    <x v="0"/>
    <d v="2024-09-19T00:00:00"/>
    <s v="No"/>
    <x v="0"/>
    <x v="2"/>
    <s v="Yes"/>
    <n v="30"/>
    <s v="Yes"/>
    <n v="20"/>
    <n v="7"/>
    <n v="58"/>
  </r>
  <r>
    <n v="3438"/>
    <x v="201"/>
    <x v="2"/>
    <d v="2024-09-20T00:00:00"/>
    <s v="Yes"/>
    <x v="2"/>
    <x v="1"/>
    <s v="No"/>
    <s v="-"/>
    <s v="Yes"/>
    <n v="20"/>
    <n v="10"/>
    <n v="20"/>
  </r>
  <r>
    <n v="3439"/>
    <x v="202"/>
    <x v="1"/>
    <d v="2024-09-21T00:00:00"/>
    <s v="No"/>
    <x v="1"/>
    <x v="2"/>
    <s v="No"/>
    <s v="-"/>
    <s v="No"/>
    <n v="0"/>
    <n v="1"/>
    <n v="4"/>
  </r>
  <r>
    <n v="3440"/>
    <x v="203"/>
    <x v="0"/>
    <d v="2024-09-22T00:00:00"/>
    <s v="Yes"/>
    <x v="0"/>
    <x v="0"/>
    <s v="Yes"/>
    <n v="30"/>
    <s v="Yes"/>
    <n v="20"/>
    <n v="15"/>
    <n v="50"/>
  </r>
  <r>
    <n v="3441"/>
    <x v="204"/>
    <x v="2"/>
    <d v="2024-09-23T00:00:00"/>
    <s v="No"/>
    <x v="2"/>
    <x v="0"/>
    <s v="No"/>
    <s v="-"/>
    <s v="Yes"/>
    <n v="20"/>
    <n v="5"/>
    <n v="25"/>
  </r>
  <r>
    <n v="3442"/>
    <x v="205"/>
    <x v="1"/>
    <d v="2024-09-24T00:00:00"/>
    <s v="Yes"/>
    <x v="1"/>
    <x v="1"/>
    <s v="No"/>
    <s v="-"/>
    <s v="No"/>
    <n v="0"/>
    <n v="0"/>
    <n v="5"/>
  </r>
  <r>
    <n v="3443"/>
    <x v="206"/>
    <x v="0"/>
    <d v="2024-09-25T00:00:00"/>
    <s v="No"/>
    <x v="0"/>
    <x v="2"/>
    <s v="Yes"/>
    <n v="30"/>
    <s v="Yes"/>
    <n v="20"/>
    <n v="20"/>
    <n v="45"/>
  </r>
  <r>
    <n v="3444"/>
    <x v="207"/>
    <x v="2"/>
    <d v="2024-09-26T00:00:00"/>
    <s v="Yes"/>
    <x v="2"/>
    <x v="2"/>
    <s v="No"/>
    <s v="-"/>
    <s v="Yes"/>
    <n v="20"/>
    <n v="12"/>
    <n v="18"/>
  </r>
  <r>
    <n v="3445"/>
    <x v="37"/>
    <x v="1"/>
    <d v="2024-09-27T00:00:00"/>
    <s v="No"/>
    <x v="1"/>
    <x v="0"/>
    <s v="No"/>
    <s v="-"/>
    <s v="No"/>
    <n v="0"/>
    <n v="2"/>
    <n v="3"/>
  </r>
  <r>
    <n v="3446"/>
    <x v="208"/>
    <x v="0"/>
    <d v="2024-09-28T00:00:00"/>
    <s v="Yes"/>
    <x v="0"/>
    <x v="1"/>
    <s v="Yes"/>
    <n v="30"/>
    <s v="Yes"/>
    <n v="20"/>
    <n v="5"/>
    <n v="60"/>
  </r>
  <r>
    <n v="3447"/>
    <x v="209"/>
    <x v="2"/>
    <d v="2024-09-29T00:00:00"/>
    <s v="No"/>
    <x v="2"/>
    <x v="0"/>
    <s v="No"/>
    <s v="-"/>
    <s v="Yes"/>
    <n v="20"/>
    <n v="10"/>
    <n v="20"/>
  </r>
  <r>
    <n v="3448"/>
    <x v="210"/>
    <x v="1"/>
    <d v="2024-09-30T00:00:00"/>
    <s v="Yes"/>
    <x v="1"/>
    <x v="2"/>
    <s v="No"/>
    <s v="-"/>
    <s v="No"/>
    <n v="0"/>
    <n v="0"/>
    <n v="5"/>
  </r>
  <r>
    <n v="3449"/>
    <x v="211"/>
    <x v="0"/>
    <d v="2024-10-01T00:00:00"/>
    <s v="No"/>
    <x v="0"/>
    <x v="0"/>
    <s v="Yes"/>
    <n v="30"/>
    <s v="Yes"/>
    <n v="20"/>
    <n v="3"/>
    <n v="62"/>
  </r>
  <r>
    <n v="3450"/>
    <x v="212"/>
    <x v="2"/>
    <d v="2024-10-02T00:00:00"/>
    <s v="Yes"/>
    <x v="2"/>
    <x v="1"/>
    <s v="No"/>
    <s v="-"/>
    <s v="Yes"/>
    <n v="20"/>
    <n v="15"/>
    <n v="15"/>
  </r>
  <r>
    <n v="3451"/>
    <x v="213"/>
    <x v="1"/>
    <d v="2024-10-03T00:00:00"/>
    <s v="No"/>
    <x v="1"/>
    <x v="0"/>
    <s v="No"/>
    <s v="-"/>
    <s v="No"/>
    <n v="0"/>
    <n v="1"/>
    <n v="4"/>
  </r>
  <r>
    <n v="3452"/>
    <x v="191"/>
    <x v="0"/>
    <d v="2024-10-04T00:00:00"/>
    <s v="Yes"/>
    <x v="0"/>
    <x v="2"/>
    <s v="Yes"/>
    <n v="30"/>
    <s v="Yes"/>
    <n v="20"/>
    <n v="7"/>
    <n v="58"/>
  </r>
  <r>
    <n v="3453"/>
    <x v="45"/>
    <x v="2"/>
    <d v="2024-10-05T00:00:00"/>
    <s v="No"/>
    <x v="2"/>
    <x v="0"/>
    <s v="No"/>
    <s v="-"/>
    <s v="Yes"/>
    <n v="20"/>
    <n v="10"/>
    <n v="20"/>
  </r>
  <r>
    <n v="3454"/>
    <x v="214"/>
    <x v="1"/>
    <d v="2024-10-06T00:00:00"/>
    <s v="Yes"/>
    <x v="1"/>
    <x v="1"/>
    <s v="No"/>
    <s v="-"/>
    <s v="No"/>
    <n v="0"/>
    <n v="0"/>
    <n v="5"/>
  </r>
  <r>
    <n v="3455"/>
    <x v="215"/>
    <x v="0"/>
    <d v="2024-10-07T00:00:00"/>
    <s v="No"/>
    <x v="0"/>
    <x v="0"/>
    <s v="Yes"/>
    <n v="30"/>
    <s v="Yes"/>
    <n v="20"/>
    <n v="20"/>
    <n v="45"/>
  </r>
  <r>
    <n v="3456"/>
    <x v="216"/>
    <x v="2"/>
    <d v="2024-10-08T00:00:00"/>
    <s v="Yes"/>
    <x v="2"/>
    <x v="2"/>
    <s v="No"/>
    <s v="-"/>
    <s v="Yes"/>
    <n v="20"/>
    <n v="15"/>
    <n v="15"/>
  </r>
  <r>
    <n v="3457"/>
    <x v="217"/>
    <x v="1"/>
    <d v="2024-10-09T00:00:00"/>
    <s v="No"/>
    <x v="1"/>
    <x v="0"/>
    <s v="No"/>
    <s v="-"/>
    <s v="No"/>
    <n v="0"/>
    <n v="1"/>
    <n v="4"/>
  </r>
  <r>
    <n v="3458"/>
    <x v="218"/>
    <x v="0"/>
    <d v="2024-10-10T00:00:00"/>
    <s v="Yes"/>
    <x v="0"/>
    <x v="1"/>
    <s v="Yes"/>
    <n v="30"/>
    <s v="Yes"/>
    <n v="20"/>
    <n v="3"/>
    <n v="62"/>
  </r>
  <r>
    <n v="3459"/>
    <x v="219"/>
    <x v="2"/>
    <d v="2024-10-11T00:00:00"/>
    <s v="No"/>
    <x v="2"/>
    <x v="0"/>
    <s v="No"/>
    <s v="-"/>
    <s v="Yes"/>
    <n v="20"/>
    <n v="10"/>
    <n v="20"/>
  </r>
  <r>
    <n v="3460"/>
    <x v="127"/>
    <x v="1"/>
    <d v="2024-10-12T00:00:00"/>
    <s v="Yes"/>
    <x v="1"/>
    <x v="2"/>
    <s v="No"/>
    <s v="-"/>
    <s v="No"/>
    <n v="0"/>
    <n v="0"/>
    <n v="5"/>
  </r>
  <r>
    <n v="3461"/>
    <x v="220"/>
    <x v="0"/>
    <d v="2024-10-13T00:00:00"/>
    <s v="No"/>
    <x v="0"/>
    <x v="0"/>
    <s v="Yes"/>
    <n v="30"/>
    <s v="Yes"/>
    <n v="20"/>
    <n v="15"/>
    <n v="50"/>
  </r>
  <r>
    <n v="3462"/>
    <x v="221"/>
    <x v="2"/>
    <d v="2024-10-14T00:00:00"/>
    <s v="Yes"/>
    <x v="2"/>
    <x v="1"/>
    <s v="No"/>
    <s v="-"/>
    <s v="Yes"/>
    <n v="20"/>
    <n v="15"/>
    <n v="15"/>
  </r>
  <r>
    <n v="3463"/>
    <x v="222"/>
    <x v="1"/>
    <d v="2024-10-15T00:00:00"/>
    <s v="No"/>
    <x v="1"/>
    <x v="0"/>
    <s v="No"/>
    <s v="-"/>
    <s v="No"/>
    <n v="0"/>
    <n v="1"/>
    <n v="4"/>
  </r>
  <r>
    <n v="3464"/>
    <x v="223"/>
    <x v="0"/>
    <d v="2024-10-16T00:00:00"/>
    <s v="Yes"/>
    <x v="0"/>
    <x v="2"/>
    <s v="Yes"/>
    <n v="30"/>
    <s v="Yes"/>
    <n v="20"/>
    <n v="7"/>
    <n v="58"/>
  </r>
  <r>
    <n v="3465"/>
    <x v="224"/>
    <x v="2"/>
    <d v="2024-10-17T00:00:00"/>
    <s v="No"/>
    <x v="2"/>
    <x v="0"/>
    <s v="No"/>
    <s v="-"/>
    <s v="Yes"/>
    <n v="20"/>
    <n v="10"/>
    <n v="20"/>
  </r>
  <r>
    <n v="3466"/>
    <x v="225"/>
    <x v="1"/>
    <d v="2024-10-18T00:00:00"/>
    <s v="Yes"/>
    <x v="1"/>
    <x v="1"/>
    <s v="No"/>
    <s v="-"/>
    <s v="No"/>
    <n v="0"/>
    <n v="0"/>
    <n v="5"/>
  </r>
  <r>
    <n v="3467"/>
    <x v="226"/>
    <x v="0"/>
    <d v="2024-10-19T00:00:00"/>
    <s v="No"/>
    <x v="0"/>
    <x v="0"/>
    <s v="Yes"/>
    <n v="30"/>
    <s v="Yes"/>
    <n v="20"/>
    <n v="15"/>
    <n v="50"/>
  </r>
  <r>
    <n v="3468"/>
    <x v="227"/>
    <x v="2"/>
    <d v="2024-10-20T00:00:00"/>
    <s v="Yes"/>
    <x v="2"/>
    <x v="2"/>
    <s v="No"/>
    <s v="-"/>
    <s v="Yes"/>
    <n v="20"/>
    <n v="12"/>
    <n v="18"/>
  </r>
  <r>
    <n v="3469"/>
    <x v="228"/>
    <x v="1"/>
    <d v="2024-10-21T00:00:00"/>
    <s v="No"/>
    <x v="1"/>
    <x v="0"/>
    <s v="No"/>
    <s v="-"/>
    <s v="No"/>
    <n v="0"/>
    <n v="2"/>
    <n v="3"/>
  </r>
  <r>
    <n v="3470"/>
    <x v="229"/>
    <x v="0"/>
    <d v="2024-10-22T00:00:00"/>
    <s v="Yes"/>
    <x v="0"/>
    <x v="1"/>
    <s v="Yes"/>
    <n v="30"/>
    <s v="Yes"/>
    <n v="20"/>
    <n v="5"/>
    <n v="60"/>
  </r>
  <r>
    <n v="3471"/>
    <x v="230"/>
    <x v="2"/>
    <d v="2024-10-23T00:00:00"/>
    <s v="No"/>
    <x v="2"/>
    <x v="0"/>
    <s v="No"/>
    <s v="-"/>
    <s v="Yes"/>
    <n v="20"/>
    <n v="10"/>
    <n v="20"/>
  </r>
  <r>
    <n v="3472"/>
    <x v="231"/>
    <x v="1"/>
    <d v="2024-10-24T00:00:00"/>
    <s v="Yes"/>
    <x v="1"/>
    <x v="2"/>
    <s v="No"/>
    <s v="-"/>
    <s v="No"/>
    <n v="0"/>
    <n v="0"/>
    <n v="5"/>
  </r>
  <r>
    <n v="3473"/>
    <x v="140"/>
    <x v="0"/>
    <d v="2024-10-25T00:00:00"/>
    <s v="No"/>
    <x v="0"/>
    <x v="0"/>
    <s v="Yes"/>
    <n v="30"/>
    <s v="Yes"/>
    <n v="20"/>
    <n v="3"/>
    <n v="62"/>
  </r>
  <r>
    <n v="3474"/>
    <x v="232"/>
    <x v="2"/>
    <d v="2024-10-26T00:00:00"/>
    <s v="Yes"/>
    <x v="2"/>
    <x v="1"/>
    <s v="No"/>
    <s v="-"/>
    <s v="Yes"/>
    <n v="20"/>
    <n v="15"/>
    <n v="15"/>
  </r>
  <r>
    <n v="3475"/>
    <x v="233"/>
    <x v="1"/>
    <d v="2024-10-27T00:00:00"/>
    <s v="No"/>
    <x v="1"/>
    <x v="0"/>
    <s v="No"/>
    <s v="-"/>
    <s v="No"/>
    <n v="0"/>
    <n v="1"/>
    <n v="4"/>
  </r>
  <r>
    <n v="3476"/>
    <x v="234"/>
    <x v="0"/>
    <d v="2024-10-28T00:00:00"/>
    <s v="Yes"/>
    <x v="0"/>
    <x v="2"/>
    <s v="Yes"/>
    <n v="30"/>
    <s v="Yes"/>
    <n v="20"/>
    <n v="7"/>
    <n v="58"/>
  </r>
  <r>
    <n v="3477"/>
    <x v="235"/>
    <x v="2"/>
    <d v="2024-10-29T00:00:00"/>
    <s v="No"/>
    <x v="2"/>
    <x v="0"/>
    <s v="No"/>
    <s v="-"/>
    <s v="Yes"/>
    <n v="20"/>
    <n v="10"/>
    <n v="20"/>
  </r>
  <r>
    <n v="3478"/>
    <x v="236"/>
    <x v="1"/>
    <d v="2024-10-30T00:00:00"/>
    <s v="Yes"/>
    <x v="1"/>
    <x v="1"/>
    <s v="No"/>
    <s v="-"/>
    <s v="No"/>
    <n v="0"/>
    <n v="0"/>
    <n v="5"/>
  </r>
  <r>
    <n v="3479"/>
    <x v="237"/>
    <x v="0"/>
    <d v="2024-10-31T00:00:00"/>
    <s v="No"/>
    <x v="0"/>
    <x v="0"/>
    <s v="Yes"/>
    <n v="30"/>
    <s v="Yes"/>
    <n v="20"/>
    <n v="20"/>
    <n v="45"/>
  </r>
  <r>
    <n v="3480"/>
    <x v="238"/>
    <x v="2"/>
    <d v="2024-11-01T00:00:00"/>
    <s v="Yes"/>
    <x v="2"/>
    <x v="2"/>
    <s v="No"/>
    <s v="-"/>
    <s v="Yes"/>
    <n v="20"/>
    <n v="15"/>
    <n v="15"/>
  </r>
  <r>
    <n v="3481"/>
    <x v="239"/>
    <x v="1"/>
    <d v="2024-11-02T00:00:00"/>
    <s v="No"/>
    <x v="1"/>
    <x v="0"/>
    <s v="No"/>
    <s v="-"/>
    <s v="No"/>
    <n v="0"/>
    <n v="1"/>
    <n v="4"/>
  </r>
  <r>
    <n v="3482"/>
    <x v="240"/>
    <x v="0"/>
    <d v="2024-11-03T00:00:00"/>
    <s v="Yes"/>
    <x v="0"/>
    <x v="1"/>
    <s v="Yes"/>
    <n v="30"/>
    <s v="Yes"/>
    <n v="20"/>
    <n v="3"/>
    <n v="62"/>
  </r>
  <r>
    <n v="3483"/>
    <x v="241"/>
    <x v="2"/>
    <d v="2024-11-04T00:00:00"/>
    <s v="No"/>
    <x v="2"/>
    <x v="0"/>
    <s v="No"/>
    <s v="-"/>
    <s v="Yes"/>
    <n v="20"/>
    <n v="10"/>
    <n v="20"/>
  </r>
  <r>
    <n v="3484"/>
    <x v="242"/>
    <x v="1"/>
    <d v="2024-11-05T00:00:00"/>
    <s v="Yes"/>
    <x v="1"/>
    <x v="2"/>
    <s v="No"/>
    <s v="-"/>
    <s v="No"/>
    <n v="0"/>
    <n v="0"/>
    <n v="5"/>
  </r>
  <r>
    <n v="3485"/>
    <x v="243"/>
    <x v="0"/>
    <d v="2024-11-06T00:00:00"/>
    <s v="No"/>
    <x v="0"/>
    <x v="0"/>
    <s v="Yes"/>
    <n v="30"/>
    <s v="Yes"/>
    <n v="20"/>
    <n v="15"/>
    <n v="50"/>
  </r>
  <r>
    <n v="3486"/>
    <x v="244"/>
    <x v="1"/>
    <d v="2024-11-07T00:00:00"/>
    <s v="Yes"/>
    <x v="1"/>
    <x v="0"/>
    <s v="No"/>
    <s v="-"/>
    <s v="No"/>
    <n v="0"/>
    <n v="0"/>
    <n v="5"/>
  </r>
  <r>
    <n v="3487"/>
    <x v="245"/>
    <x v="0"/>
    <d v="2024-11-08T00:00:00"/>
    <s v="No"/>
    <x v="0"/>
    <x v="2"/>
    <s v="Yes"/>
    <n v="30"/>
    <s v="Yes"/>
    <n v="20"/>
    <n v="7"/>
    <n v="58"/>
  </r>
  <r>
    <n v="3488"/>
    <x v="246"/>
    <x v="2"/>
    <d v="2024-11-09T00:00:00"/>
    <s v="Yes"/>
    <x v="2"/>
    <x v="1"/>
    <s v="No"/>
    <s v="-"/>
    <s v="Yes"/>
    <n v="20"/>
    <n v="10"/>
    <n v="20"/>
  </r>
  <r>
    <n v="3489"/>
    <x v="247"/>
    <x v="1"/>
    <d v="2024-11-10T00:00:00"/>
    <s v="No"/>
    <x v="1"/>
    <x v="2"/>
    <s v="No"/>
    <s v="-"/>
    <s v="No"/>
    <n v="0"/>
    <n v="1"/>
    <n v="4"/>
  </r>
  <r>
    <n v="3490"/>
    <x v="248"/>
    <x v="0"/>
    <d v="2024-11-11T00:00:00"/>
    <s v="Yes"/>
    <x v="0"/>
    <x v="0"/>
    <s v="Yes"/>
    <n v="30"/>
    <s v="Yes"/>
    <n v="20"/>
    <n v="15"/>
    <n v="50"/>
  </r>
  <r>
    <n v="3491"/>
    <x v="249"/>
    <x v="2"/>
    <d v="2024-11-12T00:00:00"/>
    <s v="No"/>
    <x v="2"/>
    <x v="0"/>
    <s v="No"/>
    <s v="-"/>
    <s v="Yes"/>
    <n v="20"/>
    <n v="5"/>
    <n v="25"/>
  </r>
  <r>
    <n v="3492"/>
    <x v="250"/>
    <x v="1"/>
    <d v="2024-11-13T00:00:00"/>
    <s v="Yes"/>
    <x v="1"/>
    <x v="1"/>
    <s v="No"/>
    <s v="-"/>
    <s v="No"/>
    <n v="0"/>
    <n v="0"/>
    <n v="5"/>
  </r>
  <r>
    <n v="3493"/>
    <x v="251"/>
    <x v="0"/>
    <d v="2024-11-14T00:00:00"/>
    <s v="No"/>
    <x v="0"/>
    <x v="2"/>
    <s v="Yes"/>
    <n v="30"/>
    <s v="Yes"/>
    <n v="20"/>
    <n v="20"/>
    <n v="45"/>
  </r>
  <r>
    <n v="3494"/>
    <x v="252"/>
    <x v="2"/>
    <d v="2024-11-15T00:00:00"/>
    <s v="Yes"/>
    <x v="2"/>
    <x v="2"/>
    <s v="No"/>
    <s v="-"/>
    <s v="Yes"/>
    <n v="20"/>
    <n v="12"/>
    <n v="18"/>
  </r>
  <r>
    <n v="3495"/>
    <x v="253"/>
    <x v="1"/>
    <d v="2024-11-16T00:00:00"/>
    <s v="No"/>
    <x v="1"/>
    <x v="0"/>
    <s v="No"/>
    <s v="-"/>
    <s v="No"/>
    <n v="0"/>
    <n v="2"/>
    <n v="3"/>
  </r>
  <r>
    <n v="3496"/>
    <x v="254"/>
    <x v="0"/>
    <d v="2024-11-17T00:00:00"/>
    <s v="Yes"/>
    <x v="0"/>
    <x v="1"/>
    <s v="Yes"/>
    <n v="30"/>
    <s v="Yes"/>
    <n v="20"/>
    <n v="5"/>
    <n v="60"/>
  </r>
  <r>
    <n v="3497"/>
    <x v="255"/>
    <x v="2"/>
    <d v="2024-11-18T00:00:00"/>
    <s v="No"/>
    <x v="2"/>
    <x v="0"/>
    <s v="No"/>
    <s v="-"/>
    <s v="Yes"/>
    <n v="20"/>
    <n v="10"/>
    <n v="20"/>
  </r>
  <r>
    <n v="3498"/>
    <x v="256"/>
    <x v="1"/>
    <d v="2024-11-19T00:00:00"/>
    <s v="Yes"/>
    <x v="1"/>
    <x v="2"/>
    <s v="No"/>
    <s v="-"/>
    <s v="No"/>
    <n v="0"/>
    <n v="0"/>
    <n v="5"/>
  </r>
  <r>
    <n v="3499"/>
    <x v="257"/>
    <x v="0"/>
    <d v="2024-11-20T00:00:00"/>
    <s v="No"/>
    <x v="0"/>
    <x v="0"/>
    <s v="Yes"/>
    <n v="30"/>
    <s v="Yes"/>
    <n v="20"/>
    <n v="3"/>
    <n v="62"/>
  </r>
  <r>
    <n v="3500"/>
    <x v="258"/>
    <x v="2"/>
    <d v="2024-11-21T00:00:00"/>
    <s v="Yes"/>
    <x v="2"/>
    <x v="1"/>
    <s v="No"/>
    <s v="-"/>
    <s v="Yes"/>
    <n v="20"/>
    <n v="15"/>
    <n v="15"/>
  </r>
  <r>
    <n v="3501"/>
    <x v="259"/>
    <x v="1"/>
    <d v="2024-11-22T00:00:00"/>
    <s v="No"/>
    <x v="1"/>
    <x v="0"/>
    <s v="No"/>
    <s v="-"/>
    <s v="No"/>
    <n v="0"/>
    <n v="1"/>
    <n v="4"/>
  </r>
  <r>
    <n v="3502"/>
    <x v="260"/>
    <x v="0"/>
    <d v="2024-11-23T00:00:00"/>
    <s v="Yes"/>
    <x v="0"/>
    <x v="2"/>
    <s v="Yes"/>
    <n v="30"/>
    <s v="Yes"/>
    <n v="20"/>
    <n v="7"/>
    <n v="58"/>
  </r>
  <r>
    <n v="3503"/>
    <x v="119"/>
    <x v="2"/>
    <d v="2024-11-24T00:00:00"/>
    <s v="No"/>
    <x v="2"/>
    <x v="0"/>
    <s v="No"/>
    <s v="-"/>
    <s v="Yes"/>
    <n v="20"/>
    <n v="10"/>
    <n v="20"/>
  </r>
  <r>
    <n v="3504"/>
    <x v="261"/>
    <x v="1"/>
    <d v="2024-11-25T00:00:00"/>
    <s v="Yes"/>
    <x v="1"/>
    <x v="1"/>
    <s v="No"/>
    <s v="-"/>
    <s v="No"/>
    <n v="0"/>
    <n v="0"/>
    <n v="5"/>
  </r>
  <r>
    <n v="3505"/>
    <x v="262"/>
    <x v="0"/>
    <d v="2024-11-26T00:00:00"/>
    <s v="No"/>
    <x v="0"/>
    <x v="0"/>
    <s v="Yes"/>
    <n v="30"/>
    <s v="Yes"/>
    <n v="20"/>
    <n v="20"/>
    <n v="45"/>
  </r>
  <r>
    <n v="3506"/>
    <x v="263"/>
    <x v="2"/>
    <d v="2024-11-27T00:00:00"/>
    <s v="Yes"/>
    <x v="2"/>
    <x v="2"/>
    <s v="No"/>
    <s v="-"/>
    <s v="Yes"/>
    <n v="20"/>
    <n v="15"/>
    <n v="15"/>
  </r>
  <r>
    <n v="3507"/>
    <x v="264"/>
    <x v="1"/>
    <d v="2024-11-28T00:00:00"/>
    <s v="No"/>
    <x v="1"/>
    <x v="0"/>
    <s v="No"/>
    <s v="-"/>
    <s v="No"/>
    <n v="0"/>
    <n v="1"/>
    <n v="4"/>
  </r>
  <r>
    <n v="3508"/>
    <x v="265"/>
    <x v="0"/>
    <d v="2024-11-29T00:00:00"/>
    <s v="Yes"/>
    <x v="0"/>
    <x v="1"/>
    <s v="Yes"/>
    <n v="30"/>
    <s v="Yes"/>
    <n v="20"/>
    <n v="3"/>
    <n v="62"/>
  </r>
  <r>
    <n v="3509"/>
    <x v="266"/>
    <x v="2"/>
    <d v="2024-11-30T00:00:00"/>
    <s v="No"/>
    <x v="2"/>
    <x v="0"/>
    <s v="No"/>
    <s v="-"/>
    <s v="Yes"/>
    <n v="20"/>
    <n v="10"/>
    <n v="20"/>
  </r>
  <r>
    <n v="3510"/>
    <x v="267"/>
    <x v="1"/>
    <d v="2024-12-01T00:00:00"/>
    <s v="Yes"/>
    <x v="1"/>
    <x v="2"/>
    <s v="No"/>
    <s v="-"/>
    <s v="No"/>
    <n v="0"/>
    <n v="0"/>
    <n v="5"/>
  </r>
  <r>
    <n v="3511"/>
    <x v="268"/>
    <x v="0"/>
    <d v="2024-12-02T00:00:00"/>
    <s v="No"/>
    <x v="0"/>
    <x v="0"/>
    <s v="Yes"/>
    <n v="30"/>
    <s v="Yes"/>
    <n v="20"/>
    <n v="15"/>
    <n v="50"/>
  </r>
  <r>
    <n v="3512"/>
    <x v="269"/>
    <x v="2"/>
    <d v="2024-12-03T00:00:00"/>
    <s v="Yes"/>
    <x v="2"/>
    <x v="1"/>
    <s v="No"/>
    <s v="-"/>
    <s v="Yes"/>
    <n v="20"/>
    <n v="15"/>
    <n v="15"/>
  </r>
  <r>
    <n v="3513"/>
    <x v="270"/>
    <x v="1"/>
    <d v="2024-12-04T00:00:00"/>
    <s v="No"/>
    <x v="1"/>
    <x v="0"/>
    <s v="No"/>
    <s v="-"/>
    <s v="No"/>
    <n v="0"/>
    <n v="1"/>
    <n v="4"/>
  </r>
  <r>
    <n v="3514"/>
    <x v="271"/>
    <x v="0"/>
    <d v="2024-12-05T00:00:00"/>
    <s v="Yes"/>
    <x v="0"/>
    <x v="2"/>
    <s v="Yes"/>
    <n v="30"/>
    <s v="Yes"/>
    <n v="20"/>
    <n v="7"/>
    <n v="58"/>
  </r>
  <r>
    <n v="3515"/>
    <x v="130"/>
    <x v="2"/>
    <d v="2024-12-06T00:00:00"/>
    <s v="No"/>
    <x v="2"/>
    <x v="0"/>
    <s v="No"/>
    <s v="-"/>
    <s v="Yes"/>
    <n v="20"/>
    <n v="10"/>
    <n v="20"/>
  </r>
  <r>
    <n v="3516"/>
    <x v="131"/>
    <x v="1"/>
    <d v="2024-12-07T00:00:00"/>
    <s v="Yes"/>
    <x v="1"/>
    <x v="1"/>
    <s v="No"/>
    <s v="-"/>
    <s v="No"/>
    <n v="0"/>
    <n v="0"/>
    <n v="5"/>
  </r>
  <r>
    <n v="3517"/>
    <x v="181"/>
    <x v="0"/>
    <d v="2024-12-08T00:00:00"/>
    <s v="No"/>
    <x v="0"/>
    <x v="0"/>
    <s v="Yes"/>
    <n v="30"/>
    <s v="Yes"/>
    <n v="20"/>
    <n v="20"/>
    <n v="45"/>
  </r>
  <r>
    <n v="3518"/>
    <x v="272"/>
    <x v="2"/>
    <d v="2024-12-09T00:00:00"/>
    <s v="Yes"/>
    <x v="2"/>
    <x v="2"/>
    <s v="No"/>
    <s v="-"/>
    <s v="Yes"/>
    <n v="20"/>
    <n v="12"/>
    <n v="18"/>
  </r>
  <r>
    <n v="3519"/>
    <x v="273"/>
    <x v="1"/>
    <d v="2024-12-10T00:00:00"/>
    <s v="No"/>
    <x v="1"/>
    <x v="0"/>
    <s v="No"/>
    <s v="-"/>
    <s v="No"/>
    <n v="0"/>
    <n v="2"/>
    <n v="3"/>
  </r>
  <r>
    <n v="3520"/>
    <x v="274"/>
    <x v="0"/>
    <d v="2024-12-11T00:00:00"/>
    <s v="Yes"/>
    <x v="0"/>
    <x v="1"/>
    <s v="Yes"/>
    <n v="30"/>
    <s v="Yes"/>
    <n v="20"/>
    <n v="5"/>
    <n v="60"/>
  </r>
  <r>
    <n v="3521"/>
    <x v="275"/>
    <x v="2"/>
    <d v="2024-12-12T00:00:00"/>
    <s v="No"/>
    <x v="2"/>
    <x v="0"/>
    <s v="No"/>
    <s v="-"/>
    <s v="Yes"/>
    <n v="20"/>
    <n v="10"/>
    <n v="20"/>
  </r>
  <r>
    <n v="3522"/>
    <x v="276"/>
    <x v="1"/>
    <d v="2024-12-13T00:00:00"/>
    <s v="Yes"/>
    <x v="1"/>
    <x v="2"/>
    <s v="No"/>
    <s v="-"/>
    <s v="No"/>
    <n v="0"/>
    <n v="0"/>
    <n v="5"/>
  </r>
  <r>
    <n v="3523"/>
    <x v="277"/>
    <x v="0"/>
    <d v="2024-12-14T00:00:00"/>
    <s v="No"/>
    <x v="0"/>
    <x v="0"/>
    <s v="Yes"/>
    <n v="30"/>
    <s v="Yes"/>
    <n v="20"/>
    <n v="3"/>
    <n v="62"/>
  </r>
  <r>
    <n v="3524"/>
    <x v="278"/>
    <x v="2"/>
    <d v="2024-12-15T00:00:00"/>
    <s v="Yes"/>
    <x v="2"/>
    <x v="1"/>
    <s v="No"/>
    <s v="-"/>
    <s v="Yes"/>
    <n v="20"/>
    <n v="15"/>
    <n v="15"/>
  </r>
  <r>
    <n v="3525"/>
    <x v="279"/>
    <x v="1"/>
    <d v="2024-12-16T00:00:00"/>
    <s v="No"/>
    <x v="1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54D0B-0B1E-4E6C-A178-FBF3D9300B07}" name="Soma Valor Planos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B10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dataField="1"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Subscription Price" fld="5" baseField="0" baseItem="0" numFmtId="44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DD72778-D869-43BD-BEE1-E19B7A9A01CC}" sourceName="Subscription Type">
  <pivotTables>
    <pivotTable tabId="3" name="Soma Valor Planos"/>
  </pivotTables>
  <data>
    <tabular pivotCacheId="167069604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1219878-4F53-4F35-B24B-A80077541B5D}" cache="SegmentaçãodeDados_Subscription_Type" caption="Subscription Type" style="SlicerStyleLight1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2">
  <autoFilter ref="A1:M296" xr:uid="{34E0E886-4200-4B36-97B3-63DB74FF40A0}"/>
  <tableColumns count="13">
    <tableColumn id="1" xr3:uid="{C4A90516-688A-46BF-9167-EA16C2A8A652}" name="Subscriber ID" dataDxfId="21"/>
    <tableColumn id="2" xr3:uid="{53DD39D0-2220-4121-9E9D-4EAA7E151C0F}" name="Name" dataDxfId="20"/>
    <tableColumn id="3" xr3:uid="{4F5FF271-4C57-4BE0-8F2C-F82C8551625C}" name="Plan" dataDxfId="19"/>
    <tableColumn id="4" xr3:uid="{8C17EB93-79B9-4E55-B8F7-BEB82F8253E9}" name="Start Date" dataDxfId="18"/>
    <tableColumn id="5" xr3:uid="{48CEDF9B-1689-482A-A828-5CCE7713264A}" name="Auto Renewal" dataDxfId="17"/>
    <tableColumn id="6" xr3:uid="{78B82374-9AA7-4E38-AE4F-78CDE6C83720}" name="Subscription Price" dataDxfId="16" dataCellStyle="Moeda"/>
    <tableColumn id="7" xr3:uid="{F2433F68-AF33-49D0-B1FB-19A396074EDE}" name="Subscription Type" dataDxfId="15"/>
    <tableColumn id="8" xr3:uid="{FD4D9C95-F6E5-4933-9068-A71FF7DF9343}" name="EA Play Season Pass" dataDxfId="14"/>
    <tableColumn id="13" xr3:uid="{978DD0D2-834E-4CE4-A39B-30976086932F}" name="EA Play Season Pass_x000a_Price" dataDxfId="13" dataCellStyle="Moeda"/>
    <tableColumn id="9" xr3:uid="{6E29F111-C395-4580-9DAD-3407D9E8B1A4}" name="Minecraft Season Pass" dataDxfId="12"/>
    <tableColumn id="10" xr3:uid="{EF544EAA-7F25-4FD5-A10E-8E62804DB9E3}" name="Minecraft Season Pass Price" dataDxfId="11" dataCellStyle="Moeda"/>
    <tableColumn id="11" xr3:uid="{7F6EB64A-1F07-4E48-9F0F-AC7D9DCD26F8}" name="Coupon Value" dataDxfId="10" dataCellStyle="Moeda"/>
    <tableColumn id="12" xr3:uid="{2B04ABC8-DE6F-426E-ADC0-D8AFC68CA58E}" name="Total Value" dataDxfId="9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95081E-510D-486D-A402-779F43958724}" name="Tabela2" displayName="Tabela2" ref="A3:M88" totalsRowShown="0">
  <autoFilter ref="A3:M88" xr:uid="{E295081E-510D-486D-A402-779F43958724}"/>
  <tableColumns count="13">
    <tableColumn id="1" xr3:uid="{B0648175-C450-4372-B853-241D5FC5E88A}" name="Subscriber ID"/>
    <tableColumn id="2" xr3:uid="{4FCEDA59-CDBB-46D2-B957-40077326B259}" name="Name"/>
    <tableColumn id="3" xr3:uid="{0AB80E69-0F81-4D14-9143-27CC91CBC65E}" name="Plan"/>
    <tableColumn id="4" xr3:uid="{0EFDDA91-4910-4C3E-BBB2-99EF5416AC28}" name="Start Date" dataDxfId="2"/>
    <tableColumn id="5" xr3:uid="{A7125ABB-664D-4125-8CCB-5BAB0F6B2AEC}" name="Auto Renewal"/>
    <tableColumn id="6" xr3:uid="{C85EA667-0C11-4B78-BB59-DAFD80577990}" name="Subscription Price"/>
    <tableColumn id="7" xr3:uid="{D94EF5E9-F008-4C81-A3E2-BD88FBFCF91D}" name="Subscription Type"/>
    <tableColumn id="8" xr3:uid="{9834C70D-2D8A-46B9-886B-A19F781036DA}" name="EA Play Season Pass"/>
    <tableColumn id="9" xr3:uid="{6D075D1D-21A8-4E28-B936-E6E15698E14D}" name="EA Play Season Pass_x000a_Price"/>
    <tableColumn id="10" xr3:uid="{03D2B9BA-B364-49CB-BB02-D9BDC3C5FF7C}" name="Minecraft Season Pass"/>
    <tableColumn id="11" xr3:uid="{991E785E-8299-4959-BCCE-549CFBCB8B12}" name="Minecraft Season Pass Price"/>
    <tableColumn id="12" xr3:uid="{A8F6845D-D20B-4D5A-A043-08B84E2D988B}" name="Coupon Value"/>
    <tableColumn id="13" xr3:uid="{443644A5-C919-4361-87E8-88197F39783D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headerFooter>
    <oddFooter>&amp;C_x000D_&amp;1#&amp;"Calibri"&amp;8&amp;K000000 PUBLICO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F1" sqref="F1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&amp;C_x000D_&amp;1#&amp;"Calibri"&amp;8&amp;K000000 PUBLICO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1D3D-74B1-4605-B1FC-A34430A31045}">
  <sheetPr>
    <tabColor theme="3" tint="0.749992370372631"/>
  </sheetPr>
  <dimension ref="A1:M88"/>
  <sheetViews>
    <sheetView workbookViewId="0">
      <selection activeCell="F14" sqref="F14"/>
    </sheetView>
  </sheetViews>
  <sheetFormatPr defaultRowHeight="14.5" x14ac:dyDescent="0.35"/>
  <cols>
    <col min="1" max="1" width="14.36328125" bestFit="1" customWidth="1"/>
    <col min="2" max="2" width="17.1796875" bestFit="1" customWidth="1"/>
    <col min="3" max="3" width="8.81640625" bestFit="1" customWidth="1"/>
    <col min="4" max="4" width="11.36328125" bestFit="1" customWidth="1"/>
    <col min="5" max="5" width="14.453125" bestFit="1" customWidth="1"/>
    <col min="6" max="6" width="18.54296875" bestFit="1" customWidth="1"/>
    <col min="7" max="7" width="18.1796875" bestFit="1" customWidth="1"/>
    <col min="8" max="8" width="20" bestFit="1" customWidth="1"/>
    <col min="9" max="9" width="25.1796875" bestFit="1" customWidth="1"/>
    <col min="10" max="10" width="22" bestFit="1" customWidth="1"/>
    <col min="11" max="11" width="26.7265625" bestFit="1" customWidth="1"/>
    <col min="12" max="12" width="14.7265625" bestFit="1" customWidth="1"/>
    <col min="13" max="13" width="12.26953125" bestFit="1" customWidth="1"/>
  </cols>
  <sheetData>
    <row r="1" spans="1:13" x14ac:dyDescent="0.35">
      <c r="A1" s="21" t="s">
        <v>317</v>
      </c>
    </row>
    <row r="3" spans="1:13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5">
      <c r="A4">
        <v>3522</v>
      </c>
      <c r="B4" t="s">
        <v>305</v>
      </c>
      <c r="C4" t="s">
        <v>22</v>
      </c>
      <c r="D4" s="20">
        <v>45639</v>
      </c>
      <c r="E4" t="s">
        <v>19</v>
      </c>
      <c r="F4">
        <v>5</v>
      </c>
      <c r="G4" t="s">
        <v>27</v>
      </c>
      <c r="H4" t="s">
        <v>23</v>
      </c>
      <c r="I4" t="s">
        <v>311</v>
      </c>
      <c r="J4" t="s">
        <v>23</v>
      </c>
      <c r="K4">
        <v>0</v>
      </c>
      <c r="L4">
        <v>0</v>
      </c>
      <c r="M4">
        <v>5</v>
      </c>
    </row>
    <row r="5" spans="1:13" x14ac:dyDescent="0.35">
      <c r="A5">
        <v>3510</v>
      </c>
      <c r="B5" t="s">
        <v>296</v>
      </c>
      <c r="C5" t="s">
        <v>22</v>
      </c>
      <c r="D5" s="20">
        <v>45627</v>
      </c>
      <c r="E5" t="s">
        <v>19</v>
      </c>
      <c r="F5">
        <v>5</v>
      </c>
      <c r="G5" t="s">
        <v>27</v>
      </c>
      <c r="H5" t="s">
        <v>23</v>
      </c>
      <c r="I5" t="s">
        <v>311</v>
      </c>
      <c r="J5" t="s">
        <v>23</v>
      </c>
      <c r="K5">
        <v>0</v>
      </c>
      <c r="L5">
        <v>0</v>
      </c>
      <c r="M5">
        <v>5</v>
      </c>
    </row>
    <row r="6" spans="1:13" x14ac:dyDescent="0.35">
      <c r="A6">
        <v>3498</v>
      </c>
      <c r="B6" t="s">
        <v>285</v>
      </c>
      <c r="C6" t="s">
        <v>22</v>
      </c>
      <c r="D6" s="20">
        <v>45615</v>
      </c>
      <c r="E6" t="s">
        <v>19</v>
      </c>
      <c r="F6">
        <v>5</v>
      </c>
      <c r="G6" t="s">
        <v>27</v>
      </c>
      <c r="H6" t="s">
        <v>23</v>
      </c>
      <c r="I6" t="s">
        <v>311</v>
      </c>
      <c r="J6" t="s">
        <v>23</v>
      </c>
      <c r="K6">
        <v>0</v>
      </c>
      <c r="L6">
        <v>0</v>
      </c>
      <c r="M6">
        <v>5</v>
      </c>
    </row>
    <row r="7" spans="1:13" x14ac:dyDescent="0.35">
      <c r="A7">
        <v>3489</v>
      </c>
      <c r="B7" t="s">
        <v>276</v>
      </c>
      <c r="C7" t="s">
        <v>22</v>
      </c>
      <c r="D7" s="20">
        <v>45606</v>
      </c>
      <c r="E7" t="s">
        <v>23</v>
      </c>
      <c r="F7">
        <v>5</v>
      </c>
      <c r="G7" t="s">
        <v>27</v>
      </c>
      <c r="H7" t="s">
        <v>23</v>
      </c>
      <c r="I7" t="s">
        <v>311</v>
      </c>
      <c r="J7" t="s">
        <v>23</v>
      </c>
      <c r="K7">
        <v>0</v>
      </c>
      <c r="L7">
        <v>1</v>
      </c>
      <c r="M7">
        <v>4</v>
      </c>
    </row>
    <row r="8" spans="1:13" x14ac:dyDescent="0.35">
      <c r="A8">
        <v>3244</v>
      </c>
      <c r="B8" t="s">
        <v>42</v>
      </c>
      <c r="C8" t="s">
        <v>22</v>
      </c>
      <c r="D8" s="20">
        <v>45361</v>
      </c>
      <c r="E8" t="s">
        <v>19</v>
      </c>
      <c r="F8">
        <v>5</v>
      </c>
      <c r="G8" t="s">
        <v>27</v>
      </c>
      <c r="H8" t="s">
        <v>23</v>
      </c>
      <c r="I8" t="s">
        <v>311</v>
      </c>
      <c r="J8" t="s">
        <v>23</v>
      </c>
      <c r="K8">
        <v>0</v>
      </c>
      <c r="L8">
        <v>0</v>
      </c>
      <c r="M8">
        <v>5</v>
      </c>
    </row>
    <row r="9" spans="1:13" x14ac:dyDescent="0.35">
      <c r="A9">
        <v>3484</v>
      </c>
      <c r="B9" t="s">
        <v>271</v>
      </c>
      <c r="C9" t="s">
        <v>22</v>
      </c>
      <c r="D9" s="20">
        <v>45601</v>
      </c>
      <c r="E9" t="s">
        <v>19</v>
      </c>
      <c r="F9">
        <v>5</v>
      </c>
      <c r="G9" t="s">
        <v>27</v>
      </c>
      <c r="H9" t="s">
        <v>23</v>
      </c>
      <c r="I9" t="s">
        <v>311</v>
      </c>
      <c r="J9" t="s">
        <v>23</v>
      </c>
      <c r="K9">
        <v>0</v>
      </c>
      <c r="L9">
        <v>0</v>
      </c>
      <c r="M9">
        <v>5</v>
      </c>
    </row>
    <row r="10" spans="1:13" x14ac:dyDescent="0.35">
      <c r="A10">
        <v>3472</v>
      </c>
      <c r="B10" t="s">
        <v>260</v>
      </c>
      <c r="C10" t="s">
        <v>22</v>
      </c>
      <c r="D10" s="20">
        <v>45589</v>
      </c>
      <c r="E10" t="s">
        <v>19</v>
      </c>
      <c r="F10">
        <v>5</v>
      </c>
      <c r="G10" t="s">
        <v>27</v>
      </c>
      <c r="H10" t="s">
        <v>23</v>
      </c>
      <c r="I10" t="s">
        <v>311</v>
      </c>
      <c r="J10" t="s">
        <v>23</v>
      </c>
      <c r="K10">
        <v>0</v>
      </c>
      <c r="L10">
        <v>0</v>
      </c>
      <c r="M10">
        <v>5</v>
      </c>
    </row>
    <row r="11" spans="1:13" x14ac:dyDescent="0.35">
      <c r="A11">
        <v>3460</v>
      </c>
      <c r="B11" t="s">
        <v>156</v>
      </c>
      <c r="C11" t="s">
        <v>22</v>
      </c>
      <c r="D11" s="20">
        <v>45577</v>
      </c>
      <c r="E11" t="s">
        <v>19</v>
      </c>
      <c r="F11">
        <v>5</v>
      </c>
      <c r="G11" t="s">
        <v>27</v>
      </c>
      <c r="H11" t="s">
        <v>23</v>
      </c>
      <c r="I11" t="s">
        <v>311</v>
      </c>
      <c r="J11" t="s">
        <v>23</v>
      </c>
      <c r="K11">
        <v>0</v>
      </c>
      <c r="L11">
        <v>0</v>
      </c>
      <c r="M11">
        <v>5</v>
      </c>
    </row>
    <row r="12" spans="1:13" x14ac:dyDescent="0.35">
      <c r="A12">
        <v>3256</v>
      </c>
      <c r="B12" t="s">
        <v>54</v>
      </c>
      <c r="C12" t="s">
        <v>22</v>
      </c>
      <c r="D12" s="20">
        <v>45373</v>
      </c>
      <c r="E12" t="s">
        <v>19</v>
      </c>
      <c r="F12">
        <v>5</v>
      </c>
      <c r="G12" t="s">
        <v>27</v>
      </c>
      <c r="H12" t="s">
        <v>23</v>
      </c>
      <c r="I12" t="s">
        <v>311</v>
      </c>
      <c r="J12" t="s">
        <v>23</v>
      </c>
      <c r="K12">
        <v>0</v>
      </c>
      <c r="L12">
        <v>0</v>
      </c>
      <c r="M12">
        <v>5</v>
      </c>
    </row>
    <row r="13" spans="1:13" x14ac:dyDescent="0.35">
      <c r="A13">
        <v>3448</v>
      </c>
      <c r="B13" t="s">
        <v>239</v>
      </c>
      <c r="C13" t="s">
        <v>22</v>
      </c>
      <c r="D13" s="20">
        <v>45565</v>
      </c>
      <c r="E13" t="s">
        <v>19</v>
      </c>
      <c r="F13">
        <v>5</v>
      </c>
      <c r="G13" t="s">
        <v>27</v>
      </c>
      <c r="H13" t="s">
        <v>23</v>
      </c>
      <c r="I13" t="s">
        <v>311</v>
      </c>
      <c r="J13" t="s">
        <v>23</v>
      </c>
      <c r="K13">
        <v>0</v>
      </c>
      <c r="L13">
        <v>0</v>
      </c>
      <c r="M13">
        <v>5</v>
      </c>
    </row>
    <row r="14" spans="1:13" x14ac:dyDescent="0.35">
      <c r="A14">
        <v>3439</v>
      </c>
      <c r="B14" t="s">
        <v>231</v>
      </c>
      <c r="C14" t="s">
        <v>22</v>
      </c>
      <c r="D14" s="20">
        <v>45556</v>
      </c>
      <c r="E14" t="s">
        <v>23</v>
      </c>
      <c r="F14">
        <v>5</v>
      </c>
      <c r="G14" t="s">
        <v>27</v>
      </c>
      <c r="H14" t="s">
        <v>23</v>
      </c>
      <c r="I14" t="s">
        <v>311</v>
      </c>
      <c r="J14" t="s">
        <v>23</v>
      </c>
      <c r="K14">
        <v>0</v>
      </c>
      <c r="L14">
        <v>1</v>
      </c>
      <c r="M14">
        <v>4</v>
      </c>
    </row>
    <row r="15" spans="1:13" x14ac:dyDescent="0.35">
      <c r="A15">
        <v>3430</v>
      </c>
      <c r="B15" t="s">
        <v>222</v>
      </c>
      <c r="C15" t="s">
        <v>22</v>
      </c>
      <c r="D15" s="20">
        <v>45547</v>
      </c>
      <c r="E15" t="s">
        <v>19</v>
      </c>
      <c r="F15">
        <v>5</v>
      </c>
      <c r="G15" t="s">
        <v>27</v>
      </c>
      <c r="H15" t="s">
        <v>23</v>
      </c>
      <c r="I15" t="s">
        <v>311</v>
      </c>
      <c r="J15" t="s">
        <v>23</v>
      </c>
      <c r="K15">
        <v>0</v>
      </c>
      <c r="L15">
        <v>0</v>
      </c>
      <c r="M15">
        <v>5</v>
      </c>
    </row>
    <row r="16" spans="1:13" x14ac:dyDescent="0.35">
      <c r="A16">
        <v>3269</v>
      </c>
      <c r="B16" t="s">
        <v>67</v>
      </c>
      <c r="C16" t="s">
        <v>22</v>
      </c>
      <c r="D16" s="20">
        <v>45386</v>
      </c>
      <c r="E16" t="s">
        <v>23</v>
      </c>
      <c r="F16">
        <v>5</v>
      </c>
      <c r="G16" t="s">
        <v>27</v>
      </c>
      <c r="H16" t="s">
        <v>23</v>
      </c>
      <c r="I16" t="s">
        <v>311</v>
      </c>
      <c r="J16" t="s">
        <v>23</v>
      </c>
      <c r="K16">
        <v>0</v>
      </c>
      <c r="L16">
        <v>1</v>
      </c>
      <c r="M16">
        <v>4</v>
      </c>
    </row>
    <row r="17" spans="1:13" x14ac:dyDescent="0.35">
      <c r="A17">
        <v>3418</v>
      </c>
      <c r="B17" t="s">
        <v>213</v>
      </c>
      <c r="C17" t="s">
        <v>22</v>
      </c>
      <c r="D17" s="20">
        <v>45535</v>
      </c>
      <c r="E17" t="s">
        <v>19</v>
      </c>
      <c r="F17">
        <v>5</v>
      </c>
      <c r="G17" t="s">
        <v>27</v>
      </c>
      <c r="H17" t="s">
        <v>23</v>
      </c>
      <c r="I17" t="s">
        <v>311</v>
      </c>
      <c r="J17" t="s">
        <v>23</v>
      </c>
      <c r="K17">
        <v>0</v>
      </c>
      <c r="L17">
        <v>0</v>
      </c>
      <c r="M17">
        <v>5</v>
      </c>
    </row>
    <row r="18" spans="1:13" x14ac:dyDescent="0.35">
      <c r="A18">
        <v>3409</v>
      </c>
      <c r="B18" t="s">
        <v>204</v>
      </c>
      <c r="C18" t="s">
        <v>22</v>
      </c>
      <c r="D18" s="20">
        <v>45526</v>
      </c>
      <c r="E18" t="s">
        <v>23</v>
      </c>
      <c r="F18">
        <v>5</v>
      </c>
      <c r="G18" t="s">
        <v>27</v>
      </c>
      <c r="H18" t="s">
        <v>23</v>
      </c>
      <c r="I18" t="s">
        <v>311</v>
      </c>
      <c r="J18" t="s">
        <v>23</v>
      </c>
      <c r="K18">
        <v>0</v>
      </c>
      <c r="L18">
        <v>1</v>
      </c>
      <c r="M18">
        <v>4</v>
      </c>
    </row>
    <row r="19" spans="1:13" x14ac:dyDescent="0.35">
      <c r="A19">
        <v>3278</v>
      </c>
      <c r="B19" t="s">
        <v>76</v>
      </c>
      <c r="C19" t="s">
        <v>22</v>
      </c>
      <c r="D19" s="20">
        <v>45395</v>
      </c>
      <c r="E19" t="s">
        <v>19</v>
      </c>
      <c r="F19">
        <v>5</v>
      </c>
      <c r="G19" t="s">
        <v>27</v>
      </c>
      <c r="H19" t="s">
        <v>23</v>
      </c>
      <c r="I19" t="s">
        <v>311</v>
      </c>
      <c r="J19" t="s">
        <v>23</v>
      </c>
      <c r="K19">
        <v>0</v>
      </c>
      <c r="L19">
        <v>0</v>
      </c>
      <c r="M19">
        <v>5</v>
      </c>
    </row>
    <row r="20" spans="1:13" x14ac:dyDescent="0.35">
      <c r="A20">
        <v>3402</v>
      </c>
      <c r="B20" t="s">
        <v>197</v>
      </c>
      <c r="C20" t="s">
        <v>22</v>
      </c>
      <c r="D20" s="20">
        <v>45519</v>
      </c>
      <c r="E20" t="s">
        <v>19</v>
      </c>
      <c r="F20">
        <v>5</v>
      </c>
      <c r="G20" t="s">
        <v>27</v>
      </c>
      <c r="H20" t="s">
        <v>23</v>
      </c>
      <c r="I20" t="s">
        <v>311</v>
      </c>
      <c r="J20" t="s">
        <v>23</v>
      </c>
      <c r="K20">
        <v>0</v>
      </c>
      <c r="L20">
        <v>0</v>
      </c>
      <c r="M20">
        <v>5</v>
      </c>
    </row>
    <row r="21" spans="1:13" x14ac:dyDescent="0.35">
      <c r="A21">
        <v>3390</v>
      </c>
      <c r="B21" t="s">
        <v>187</v>
      </c>
      <c r="C21" t="s">
        <v>22</v>
      </c>
      <c r="D21" s="20">
        <v>45507</v>
      </c>
      <c r="E21" t="s">
        <v>19</v>
      </c>
      <c r="F21">
        <v>5</v>
      </c>
      <c r="G21" t="s">
        <v>27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 x14ac:dyDescent="0.35">
      <c r="A22">
        <v>3378</v>
      </c>
      <c r="B22" t="s">
        <v>175</v>
      </c>
      <c r="C22" t="s">
        <v>22</v>
      </c>
      <c r="D22" s="20">
        <v>45495</v>
      </c>
      <c r="E22" t="s">
        <v>19</v>
      </c>
      <c r="F22">
        <v>5</v>
      </c>
      <c r="G22" t="s">
        <v>27</v>
      </c>
      <c r="H22" t="s">
        <v>23</v>
      </c>
      <c r="I22" t="s">
        <v>311</v>
      </c>
      <c r="J22" t="s">
        <v>23</v>
      </c>
      <c r="K22">
        <v>0</v>
      </c>
      <c r="L22">
        <v>0</v>
      </c>
      <c r="M22">
        <v>5</v>
      </c>
    </row>
    <row r="23" spans="1:13" x14ac:dyDescent="0.35">
      <c r="A23">
        <v>3290</v>
      </c>
      <c r="B23" t="s">
        <v>88</v>
      </c>
      <c r="C23" t="s">
        <v>22</v>
      </c>
      <c r="D23" s="20">
        <v>45407</v>
      </c>
      <c r="E23" t="s">
        <v>19</v>
      </c>
      <c r="F23">
        <v>5</v>
      </c>
      <c r="G23" t="s">
        <v>27</v>
      </c>
      <c r="H23" t="s">
        <v>23</v>
      </c>
      <c r="I23" t="s">
        <v>311</v>
      </c>
      <c r="J23" t="s">
        <v>23</v>
      </c>
      <c r="K23">
        <v>0</v>
      </c>
      <c r="L23">
        <v>0</v>
      </c>
      <c r="M23">
        <v>5</v>
      </c>
    </row>
    <row r="24" spans="1:13" x14ac:dyDescent="0.35">
      <c r="A24">
        <v>3369</v>
      </c>
      <c r="B24" t="s">
        <v>166</v>
      </c>
      <c r="C24" t="s">
        <v>22</v>
      </c>
      <c r="D24" s="20">
        <v>45486</v>
      </c>
      <c r="E24" t="s">
        <v>23</v>
      </c>
      <c r="F24">
        <v>5</v>
      </c>
      <c r="G24" t="s">
        <v>27</v>
      </c>
      <c r="H24" t="s">
        <v>23</v>
      </c>
      <c r="I24" t="s">
        <v>311</v>
      </c>
      <c r="J24" t="s">
        <v>23</v>
      </c>
      <c r="K24">
        <v>0</v>
      </c>
      <c r="L24">
        <v>1</v>
      </c>
      <c r="M24">
        <v>4</v>
      </c>
    </row>
    <row r="25" spans="1:13" x14ac:dyDescent="0.35">
      <c r="A25">
        <v>3360</v>
      </c>
      <c r="B25" t="s">
        <v>157</v>
      </c>
      <c r="C25" t="s">
        <v>22</v>
      </c>
      <c r="D25" s="20">
        <v>45477</v>
      </c>
      <c r="E25" t="s">
        <v>19</v>
      </c>
      <c r="F25">
        <v>5</v>
      </c>
      <c r="G25" t="s">
        <v>27</v>
      </c>
      <c r="H25" t="s">
        <v>23</v>
      </c>
      <c r="I25" t="s">
        <v>311</v>
      </c>
      <c r="J25" t="s">
        <v>23</v>
      </c>
      <c r="K25">
        <v>0</v>
      </c>
      <c r="L25">
        <v>0</v>
      </c>
      <c r="M25">
        <v>5</v>
      </c>
    </row>
    <row r="26" spans="1:13" x14ac:dyDescent="0.35">
      <c r="A26">
        <v>3299</v>
      </c>
      <c r="B26" t="s">
        <v>97</v>
      </c>
      <c r="C26" t="s">
        <v>22</v>
      </c>
      <c r="D26" s="20">
        <v>45416</v>
      </c>
      <c r="E26" t="s">
        <v>19</v>
      </c>
      <c r="F26">
        <v>5</v>
      </c>
      <c r="G26" t="s">
        <v>27</v>
      </c>
      <c r="H26" t="s">
        <v>23</v>
      </c>
      <c r="I26" t="s">
        <v>311</v>
      </c>
      <c r="J26" t="s">
        <v>23</v>
      </c>
      <c r="K26">
        <v>0</v>
      </c>
      <c r="L26">
        <v>1</v>
      </c>
      <c r="M26">
        <v>4</v>
      </c>
    </row>
    <row r="27" spans="1:13" x14ac:dyDescent="0.35">
      <c r="A27">
        <v>3348</v>
      </c>
      <c r="B27" t="s">
        <v>146</v>
      </c>
      <c r="C27" t="s">
        <v>22</v>
      </c>
      <c r="D27" s="20">
        <v>45465</v>
      </c>
      <c r="E27" t="s">
        <v>19</v>
      </c>
      <c r="F27">
        <v>5</v>
      </c>
      <c r="G27" t="s">
        <v>27</v>
      </c>
      <c r="H27" t="s">
        <v>23</v>
      </c>
      <c r="I27" t="s">
        <v>311</v>
      </c>
      <c r="J27" t="s">
        <v>23</v>
      </c>
      <c r="K27">
        <v>0</v>
      </c>
      <c r="L27">
        <v>0</v>
      </c>
      <c r="M27">
        <v>5</v>
      </c>
    </row>
    <row r="28" spans="1:13" x14ac:dyDescent="0.35">
      <c r="A28">
        <v>3339</v>
      </c>
      <c r="B28" t="s">
        <v>137</v>
      </c>
      <c r="C28" t="s">
        <v>22</v>
      </c>
      <c r="D28" s="20">
        <v>45456</v>
      </c>
      <c r="E28" t="s">
        <v>23</v>
      </c>
      <c r="F28">
        <v>5</v>
      </c>
      <c r="G28" t="s">
        <v>27</v>
      </c>
      <c r="H28" t="s">
        <v>23</v>
      </c>
      <c r="I28" t="s">
        <v>311</v>
      </c>
      <c r="J28" t="s">
        <v>23</v>
      </c>
      <c r="K28">
        <v>0</v>
      </c>
      <c r="L28">
        <v>1</v>
      </c>
      <c r="M28">
        <v>4</v>
      </c>
    </row>
    <row r="29" spans="1:13" x14ac:dyDescent="0.35">
      <c r="A29">
        <v>3308</v>
      </c>
      <c r="B29" t="s">
        <v>106</v>
      </c>
      <c r="C29" t="s">
        <v>22</v>
      </c>
      <c r="D29" s="20">
        <v>45425</v>
      </c>
      <c r="E29" t="s">
        <v>23</v>
      </c>
      <c r="F29">
        <v>5</v>
      </c>
      <c r="G29" t="s">
        <v>27</v>
      </c>
      <c r="H29" t="s">
        <v>23</v>
      </c>
      <c r="I29" t="s">
        <v>311</v>
      </c>
      <c r="J29" t="s">
        <v>23</v>
      </c>
      <c r="K29">
        <v>0</v>
      </c>
      <c r="L29">
        <v>0</v>
      </c>
      <c r="M29">
        <v>5</v>
      </c>
    </row>
    <row r="30" spans="1:13" x14ac:dyDescent="0.35">
      <c r="A30">
        <v>3329</v>
      </c>
      <c r="B30" t="s">
        <v>127</v>
      </c>
      <c r="C30" t="s">
        <v>22</v>
      </c>
      <c r="D30" s="20">
        <v>45446</v>
      </c>
      <c r="E30" t="s">
        <v>19</v>
      </c>
      <c r="F30">
        <v>5</v>
      </c>
      <c r="G30" t="s">
        <v>27</v>
      </c>
      <c r="H30" t="s">
        <v>23</v>
      </c>
      <c r="I30" t="s">
        <v>311</v>
      </c>
      <c r="J30" t="s">
        <v>23</v>
      </c>
      <c r="K30">
        <v>0</v>
      </c>
      <c r="L30">
        <v>1</v>
      </c>
      <c r="M30">
        <v>4</v>
      </c>
    </row>
    <row r="31" spans="1:13" x14ac:dyDescent="0.35">
      <c r="A31">
        <v>3320</v>
      </c>
      <c r="B31" t="s">
        <v>118</v>
      </c>
      <c r="C31" t="s">
        <v>22</v>
      </c>
      <c r="D31" s="20">
        <v>45437</v>
      </c>
      <c r="E31" t="s">
        <v>23</v>
      </c>
      <c r="F31">
        <v>5</v>
      </c>
      <c r="G31" t="s">
        <v>27</v>
      </c>
      <c r="H31" t="s">
        <v>23</v>
      </c>
      <c r="I31" t="s">
        <v>311</v>
      </c>
      <c r="J31" t="s">
        <v>23</v>
      </c>
      <c r="K31">
        <v>0</v>
      </c>
      <c r="L31">
        <v>0</v>
      </c>
      <c r="M31">
        <v>5</v>
      </c>
    </row>
    <row r="32" spans="1:13" x14ac:dyDescent="0.35">
      <c r="A32">
        <v>3518</v>
      </c>
      <c r="B32" t="s">
        <v>301</v>
      </c>
      <c r="C32" t="s">
        <v>26</v>
      </c>
      <c r="D32" s="20">
        <v>45635</v>
      </c>
      <c r="E32" t="s">
        <v>19</v>
      </c>
      <c r="F32">
        <v>10</v>
      </c>
      <c r="G32" t="s">
        <v>27</v>
      </c>
      <c r="H32" t="s">
        <v>23</v>
      </c>
      <c r="I32" t="s">
        <v>311</v>
      </c>
      <c r="J32" t="s">
        <v>19</v>
      </c>
      <c r="K32">
        <v>20</v>
      </c>
      <c r="L32">
        <v>12</v>
      </c>
      <c r="M32">
        <v>18</v>
      </c>
    </row>
    <row r="33" spans="1:13" x14ac:dyDescent="0.35">
      <c r="A33">
        <v>3233</v>
      </c>
      <c r="B33" t="s">
        <v>25</v>
      </c>
      <c r="C33" t="s">
        <v>26</v>
      </c>
      <c r="D33" s="20">
        <v>45332</v>
      </c>
      <c r="E33" t="s">
        <v>19</v>
      </c>
      <c r="F33">
        <v>10</v>
      </c>
      <c r="G33" t="s">
        <v>27</v>
      </c>
      <c r="H33" t="s">
        <v>23</v>
      </c>
      <c r="I33" t="s">
        <v>311</v>
      </c>
      <c r="J33" t="s">
        <v>19</v>
      </c>
      <c r="K33">
        <v>20</v>
      </c>
      <c r="L33">
        <v>10</v>
      </c>
      <c r="M33">
        <v>20</v>
      </c>
    </row>
    <row r="34" spans="1:13" x14ac:dyDescent="0.35">
      <c r="A34">
        <v>3506</v>
      </c>
      <c r="B34" t="s">
        <v>292</v>
      </c>
      <c r="C34" t="s">
        <v>26</v>
      </c>
      <c r="D34" s="20">
        <v>45623</v>
      </c>
      <c r="E34" t="s">
        <v>19</v>
      </c>
      <c r="F34">
        <v>10</v>
      </c>
      <c r="G34" t="s">
        <v>27</v>
      </c>
      <c r="H34" t="s">
        <v>23</v>
      </c>
      <c r="I34" t="s">
        <v>311</v>
      </c>
      <c r="J34" t="s">
        <v>19</v>
      </c>
      <c r="K34">
        <v>20</v>
      </c>
      <c r="L34">
        <v>15</v>
      </c>
      <c r="M34">
        <v>15</v>
      </c>
    </row>
    <row r="35" spans="1:13" x14ac:dyDescent="0.35">
      <c r="A35">
        <v>3240</v>
      </c>
      <c r="B35" t="s">
        <v>38</v>
      </c>
      <c r="C35" t="s">
        <v>26</v>
      </c>
      <c r="D35" s="20">
        <v>45357</v>
      </c>
      <c r="E35" t="s">
        <v>19</v>
      </c>
      <c r="F35">
        <v>10</v>
      </c>
      <c r="G35" t="s">
        <v>27</v>
      </c>
      <c r="H35" t="s">
        <v>23</v>
      </c>
      <c r="I35" t="s">
        <v>311</v>
      </c>
      <c r="J35" t="s">
        <v>19</v>
      </c>
      <c r="K35">
        <v>20</v>
      </c>
      <c r="L35">
        <v>15</v>
      </c>
      <c r="M35">
        <v>15</v>
      </c>
    </row>
    <row r="36" spans="1:13" x14ac:dyDescent="0.35">
      <c r="A36">
        <v>3494</v>
      </c>
      <c r="B36" t="s">
        <v>281</v>
      </c>
      <c r="C36" t="s">
        <v>26</v>
      </c>
      <c r="D36" s="20">
        <v>45611</v>
      </c>
      <c r="E36" t="s">
        <v>19</v>
      </c>
      <c r="F36">
        <v>10</v>
      </c>
      <c r="G36" t="s">
        <v>27</v>
      </c>
      <c r="H36" t="s">
        <v>23</v>
      </c>
      <c r="I36" t="s">
        <v>311</v>
      </c>
      <c r="J36" t="s">
        <v>19</v>
      </c>
      <c r="K36">
        <v>20</v>
      </c>
      <c r="L36">
        <v>12</v>
      </c>
      <c r="M36">
        <v>18</v>
      </c>
    </row>
    <row r="37" spans="1:13" x14ac:dyDescent="0.35">
      <c r="A37">
        <v>3480</v>
      </c>
      <c r="B37" t="s">
        <v>267</v>
      </c>
      <c r="C37" t="s">
        <v>26</v>
      </c>
      <c r="D37" s="20">
        <v>45597</v>
      </c>
      <c r="E37" t="s">
        <v>19</v>
      </c>
      <c r="F37">
        <v>10</v>
      </c>
      <c r="G37" t="s">
        <v>27</v>
      </c>
      <c r="H37" t="s">
        <v>23</v>
      </c>
      <c r="I37" t="s">
        <v>311</v>
      </c>
      <c r="J37" t="s">
        <v>19</v>
      </c>
      <c r="K37">
        <v>20</v>
      </c>
      <c r="L37">
        <v>15</v>
      </c>
      <c r="M37">
        <v>15</v>
      </c>
    </row>
    <row r="38" spans="1:13" x14ac:dyDescent="0.35">
      <c r="A38">
        <v>3468</v>
      </c>
      <c r="B38" t="s">
        <v>256</v>
      </c>
      <c r="C38" t="s">
        <v>26</v>
      </c>
      <c r="D38" s="20">
        <v>45585</v>
      </c>
      <c r="E38" t="s">
        <v>19</v>
      </c>
      <c r="F38">
        <v>10</v>
      </c>
      <c r="G38" t="s">
        <v>27</v>
      </c>
      <c r="H38" t="s">
        <v>23</v>
      </c>
      <c r="I38" t="s">
        <v>311</v>
      </c>
      <c r="J38" t="s">
        <v>19</v>
      </c>
      <c r="K38">
        <v>20</v>
      </c>
      <c r="L38">
        <v>12</v>
      </c>
      <c r="M38">
        <v>18</v>
      </c>
    </row>
    <row r="39" spans="1:13" x14ac:dyDescent="0.35">
      <c r="A39">
        <v>3252</v>
      </c>
      <c r="B39" t="s">
        <v>50</v>
      </c>
      <c r="C39" t="s">
        <v>26</v>
      </c>
      <c r="D39" s="20">
        <v>45369</v>
      </c>
      <c r="E39" t="s">
        <v>19</v>
      </c>
      <c r="F39">
        <v>10</v>
      </c>
      <c r="G39" t="s">
        <v>27</v>
      </c>
      <c r="H39" t="s">
        <v>23</v>
      </c>
      <c r="I39" t="s">
        <v>311</v>
      </c>
      <c r="J39" t="s">
        <v>19</v>
      </c>
      <c r="K39">
        <v>20</v>
      </c>
      <c r="L39">
        <v>15</v>
      </c>
      <c r="M39">
        <v>15</v>
      </c>
    </row>
    <row r="40" spans="1:13" x14ac:dyDescent="0.35">
      <c r="A40">
        <v>3456</v>
      </c>
      <c r="B40" t="s">
        <v>245</v>
      </c>
      <c r="C40" t="s">
        <v>26</v>
      </c>
      <c r="D40" s="20">
        <v>45573</v>
      </c>
      <c r="E40" t="s">
        <v>19</v>
      </c>
      <c r="F40">
        <v>10</v>
      </c>
      <c r="G40" t="s">
        <v>27</v>
      </c>
      <c r="H40" t="s">
        <v>23</v>
      </c>
      <c r="I40" t="s">
        <v>311</v>
      </c>
      <c r="J40" t="s">
        <v>19</v>
      </c>
      <c r="K40">
        <v>20</v>
      </c>
      <c r="L40">
        <v>15</v>
      </c>
      <c r="M40">
        <v>15</v>
      </c>
    </row>
    <row r="41" spans="1:13" x14ac:dyDescent="0.35">
      <c r="A41">
        <v>3444</v>
      </c>
      <c r="B41" t="s">
        <v>236</v>
      </c>
      <c r="C41" t="s">
        <v>26</v>
      </c>
      <c r="D41" s="20">
        <v>45561</v>
      </c>
      <c r="E41" t="s">
        <v>19</v>
      </c>
      <c r="F41">
        <v>10</v>
      </c>
      <c r="G41" t="s">
        <v>27</v>
      </c>
      <c r="H41" t="s">
        <v>23</v>
      </c>
      <c r="I41" t="s">
        <v>311</v>
      </c>
      <c r="J41" t="s">
        <v>19</v>
      </c>
      <c r="K41">
        <v>20</v>
      </c>
      <c r="L41">
        <v>12</v>
      </c>
      <c r="M41">
        <v>18</v>
      </c>
    </row>
    <row r="42" spans="1:13" x14ac:dyDescent="0.35">
      <c r="A42">
        <v>3264</v>
      </c>
      <c r="B42" t="s">
        <v>62</v>
      </c>
      <c r="C42" t="s">
        <v>26</v>
      </c>
      <c r="D42" s="20">
        <v>45381</v>
      </c>
      <c r="E42" t="s">
        <v>19</v>
      </c>
      <c r="F42">
        <v>10</v>
      </c>
      <c r="G42" t="s">
        <v>27</v>
      </c>
      <c r="H42" t="s">
        <v>23</v>
      </c>
      <c r="I42" t="s">
        <v>311</v>
      </c>
      <c r="J42" t="s">
        <v>19</v>
      </c>
      <c r="K42">
        <v>20</v>
      </c>
      <c r="L42">
        <v>15</v>
      </c>
      <c r="M42">
        <v>15</v>
      </c>
    </row>
    <row r="43" spans="1:13" x14ac:dyDescent="0.35">
      <c r="A43">
        <v>3426</v>
      </c>
      <c r="B43" t="s">
        <v>196</v>
      </c>
      <c r="C43" t="s">
        <v>26</v>
      </c>
      <c r="D43" s="20">
        <v>45543</v>
      </c>
      <c r="E43" t="s">
        <v>19</v>
      </c>
      <c r="F43">
        <v>10</v>
      </c>
      <c r="G43" t="s">
        <v>27</v>
      </c>
      <c r="H43" t="s">
        <v>23</v>
      </c>
      <c r="I43" t="s">
        <v>311</v>
      </c>
      <c r="J43" t="s">
        <v>19</v>
      </c>
      <c r="K43">
        <v>20</v>
      </c>
      <c r="L43">
        <v>15</v>
      </c>
      <c r="M43">
        <v>15</v>
      </c>
    </row>
    <row r="44" spans="1:13" x14ac:dyDescent="0.35">
      <c r="A44">
        <v>3414</v>
      </c>
      <c r="B44" t="s">
        <v>209</v>
      </c>
      <c r="C44" t="s">
        <v>26</v>
      </c>
      <c r="D44" s="20">
        <v>45531</v>
      </c>
      <c r="E44" t="s">
        <v>19</v>
      </c>
      <c r="F44">
        <v>10</v>
      </c>
      <c r="G44" t="s">
        <v>27</v>
      </c>
      <c r="H44" t="s">
        <v>23</v>
      </c>
      <c r="I44" t="s">
        <v>311</v>
      </c>
      <c r="J44" t="s">
        <v>19</v>
      </c>
      <c r="K44">
        <v>20</v>
      </c>
      <c r="L44">
        <v>12</v>
      </c>
      <c r="M44">
        <v>18</v>
      </c>
    </row>
    <row r="45" spans="1:13" x14ac:dyDescent="0.35">
      <c r="A45">
        <v>3274</v>
      </c>
      <c r="B45" t="s">
        <v>72</v>
      </c>
      <c r="C45" t="s">
        <v>26</v>
      </c>
      <c r="D45" s="20">
        <v>45391</v>
      </c>
      <c r="E45" t="s">
        <v>19</v>
      </c>
      <c r="F45">
        <v>10</v>
      </c>
      <c r="G45" t="s">
        <v>27</v>
      </c>
      <c r="H45" t="s">
        <v>23</v>
      </c>
      <c r="I45" t="s">
        <v>311</v>
      </c>
      <c r="J45" t="s">
        <v>19</v>
      </c>
      <c r="K45">
        <v>20</v>
      </c>
      <c r="L45">
        <v>12</v>
      </c>
      <c r="M45">
        <v>18</v>
      </c>
    </row>
    <row r="46" spans="1:13" x14ac:dyDescent="0.35">
      <c r="A46">
        <v>3398</v>
      </c>
      <c r="B46" t="s">
        <v>193</v>
      </c>
      <c r="C46" t="s">
        <v>26</v>
      </c>
      <c r="D46" s="20">
        <v>45515</v>
      </c>
      <c r="E46" t="s">
        <v>19</v>
      </c>
      <c r="F46">
        <v>10</v>
      </c>
      <c r="G46" t="s">
        <v>27</v>
      </c>
      <c r="H46" t="s">
        <v>23</v>
      </c>
      <c r="I46" t="s">
        <v>311</v>
      </c>
      <c r="J46" t="s">
        <v>19</v>
      </c>
      <c r="K46">
        <v>20</v>
      </c>
      <c r="L46">
        <v>15</v>
      </c>
      <c r="M46">
        <v>15</v>
      </c>
    </row>
    <row r="47" spans="1:13" x14ac:dyDescent="0.35">
      <c r="A47">
        <v>3386</v>
      </c>
      <c r="B47" t="s">
        <v>183</v>
      </c>
      <c r="C47" t="s">
        <v>26</v>
      </c>
      <c r="D47" s="20">
        <v>45503</v>
      </c>
      <c r="E47" t="s">
        <v>19</v>
      </c>
      <c r="F47">
        <v>10</v>
      </c>
      <c r="G47" t="s">
        <v>27</v>
      </c>
      <c r="H47" t="s">
        <v>23</v>
      </c>
      <c r="I47" t="s">
        <v>311</v>
      </c>
      <c r="J47" t="s">
        <v>19</v>
      </c>
      <c r="K47">
        <v>20</v>
      </c>
      <c r="L47">
        <v>15</v>
      </c>
      <c r="M47">
        <v>15</v>
      </c>
    </row>
    <row r="48" spans="1:13" x14ac:dyDescent="0.35">
      <c r="A48">
        <v>3286</v>
      </c>
      <c r="B48" t="s">
        <v>84</v>
      </c>
      <c r="C48" t="s">
        <v>26</v>
      </c>
      <c r="D48" s="20">
        <v>45403</v>
      </c>
      <c r="E48" t="s">
        <v>19</v>
      </c>
      <c r="F48">
        <v>10</v>
      </c>
      <c r="G48" t="s">
        <v>27</v>
      </c>
      <c r="H48" t="s">
        <v>23</v>
      </c>
      <c r="I48" t="s">
        <v>311</v>
      </c>
      <c r="J48" t="s">
        <v>19</v>
      </c>
      <c r="K48">
        <v>20</v>
      </c>
      <c r="L48">
        <v>15</v>
      </c>
      <c r="M48">
        <v>15</v>
      </c>
    </row>
    <row r="49" spans="1:13" x14ac:dyDescent="0.35">
      <c r="A49">
        <v>3374</v>
      </c>
      <c r="B49" t="s">
        <v>171</v>
      </c>
      <c r="C49" t="s">
        <v>26</v>
      </c>
      <c r="D49" s="20">
        <v>45491</v>
      </c>
      <c r="E49" t="s">
        <v>19</v>
      </c>
      <c r="F49">
        <v>10</v>
      </c>
      <c r="G49" t="s">
        <v>27</v>
      </c>
      <c r="H49" t="s">
        <v>23</v>
      </c>
      <c r="I49" t="s">
        <v>311</v>
      </c>
      <c r="J49" t="s">
        <v>19</v>
      </c>
      <c r="K49">
        <v>20</v>
      </c>
      <c r="L49">
        <v>12</v>
      </c>
      <c r="M49">
        <v>18</v>
      </c>
    </row>
    <row r="50" spans="1:13" x14ac:dyDescent="0.35">
      <c r="A50">
        <v>3356</v>
      </c>
      <c r="B50" t="s">
        <v>153</v>
      </c>
      <c r="C50" t="s">
        <v>26</v>
      </c>
      <c r="D50" s="20">
        <v>45473</v>
      </c>
      <c r="E50" t="s">
        <v>19</v>
      </c>
      <c r="F50">
        <v>10</v>
      </c>
      <c r="G50" t="s">
        <v>27</v>
      </c>
      <c r="H50" t="s">
        <v>23</v>
      </c>
      <c r="I50" t="s">
        <v>311</v>
      </c>
      <c r="J50" t="s">
        <v>19</v>
      </c>
      <c r="K50">
        <v>20</v>
      </c>
      <c r="L50">
        <v>15</v>
      </c>
      <c r="M50">
        <v>15</v>
      </c>
    </row>
    <row r="51" spans="1:13" x14ac:dyDescent="0.35">
      <c r="A51">
        <v>3344</v>
      </c>
      <c r="B51" t="s">
        <v>142</v>
      </c>
      <c r="C51" t="s">
        <v>26</v>
      </c>
      <c r="D51" s="20">
        <v>45461</v>
      </c>
      <c r="E51" t="s">
        <v>19</v>
      </c>
      <c r="F51">
        <v>10</v>
      </c>
      <c r="G51" t="s">
        <v>27</v>
      </c>
      <c r="H51" t="s">
        <v>23</v>
      </c>
      <c r="I51" t="s">
        <v>311</v>
      </c>
      <c r="J51" t="s">
        <v>19</v>
      </c>
      <c r="K51">
        <v>20</v>
      </c>
      <c r="L51">
        <v>12</v>
      </c>
      <c r="M51">
        <v>18</v>
      </c>
    </row>
    <row r="52" spans="1:13" x14ac:dyDescent="0.35">
      <c r="A52">
        <v>3304</v>
      </c>
      <c r="B52" t="s">
        <v>102</v>
      </c>
      <c r="C52" t="s">
        <v>26</v>
      </c>
      <c r="D52" s="20">
        <v>45421</v>
      </c>
      <c r="E52" t="s">
        <v>23</v>
      </c>
      <c r="F52">
        <v>10</v>
      </c>
      <c r="G52" t="s">
        <v>27</v>
      </c>
      <c r="H52" t="s">
        <v>23</v>
      </c>
      <c r="I52" t="s">
        <v>311</v>
      </c>
      <c r="J52" t="s">
        <v>19</v>
      </c>
      <c r="K52">
        <v>20</v>
      </c>
      <c r="L52">
        <v>12</v>
      </c>
      <c r="M52">
        <v>18</v>
      </c>
    </row>
    <row r="53" spans="1:13" x14ac:dyDescent="0.35">
      <c r="A53">
        <v>3334</v>
      </c>
      <c r="B53" t="s">
        <v>132</v>
      </c>
      <c r="C53" t="s">
        <v>26</v>
      </c>
      <c r="D53" s="20">
        <v>45451</v>
      </c>
      <c r="E53" t="s">
        <v>23</v>
      </c>
      <c r="F53">
        <v>10</v>
      </c>
      <c r="G53" t="s">
        <v>27</v>
      </c>
      <c r="H53" t="s">
        <v>23</v>
      </c>
      <c r="I53" t="s">
        <v>311</v>
      </c>
      <c r="J53" t="s">
        <v>19</v>
      </c>
      <c r="K53">
        <v>20</v>
      </c>
      <c r="L53">
        <v>12</v>
      </c>
      <c r="M53">
        <v>18</v>
      </c>
    </row>
    <row r="54" spans="1:13" x14ac:dyDescent="0.35">
      <c r="A54">
        <v>3325</v>
      </c>
      <c r="B54" t="s">
        <v>123</v>
      </c>
      <c r="C54" t="s">
        <v>26</v>
      </c>
      <c r="D54" s="20">
        <v>45442</v>
      </c>
      <c r="E54" t="s">
        <v>19</v>
      </c>
      <c r="F54">
        <v>10</v>
      </c>
      <c r="G54" t="s">
        <v>27</v>
      </c>
      <c r="H54" t="s">
        <v>23</v>
      </c>
      <c r="I54" t="s">
        <v>311</v>
      </c>
      <c r="J54" t="s">
        <v>19</v>
      </c>
      <c r="K54">
        <v>20</v>
      </c>
      <c r="L54">
        <v>15</v>
      </c>
      <c r="M54">
        <v>15</v>
      </c>
    </row>
    <row r="55" spans="1:13" x14ac:dyDescent="0.35">
      <c r="A55">
        <v>3316</v>
      </c>
      <c r="B55" t="s">
        <v>114</v>
      </c>
      <c r="C55" t="s">
        <v>26</v>
      </c>
      <c r="D55" s="20">
        <v>45433</v>
      </c>
      <c r="E55" t="s">
        <v>23</v>
      </c>
      <c r="F55">
        <v>10</v>
      </c>
      <c r="G55" t="s">
        <v>27</v>
      </c>
      <c r="H55" t="s">
        <v>23</v>
      </c>
      <c r="I55" t="s">
        <v>311</v>
      </c>
      <c r="J55" t="s">
        <v>19</v>
      </c>
      <c r="K55">
        <v>20</v>
      </c>
      <c r="L55">
        <v>15</v>
      </c>
      <c r="M55">
        <v>15</v>
      </c>
    </row>
    <row r="56" spans="1:13" x14ac:dyDescent="0.35">
      <c r="A56">
        <v>3514</v>
      </c>
      <c r="B56" t="s">
        <v>300</v>
      </c>
      <c r="C56" t="s">
        <v>18</v>
      </c>
      <c r="D56" s="20">
        <v>45631</v>
      </c>
      <c r="E56" t="s">
        <v>19</v>
      </c>
      <c r="F56">
        <v>15</v>
      </c>
      <c r="G56" t="s">
        <v>27</v>
      </c>
      <c r="H56" t="s">
        <v>19</v>
      </c>
      <c r="I56">
        <v>30</v>
      </c>
      <c r="J56" t="s">
        <v>19</v>
      </c>
      <c r="K56">
        <v>20</v>
      </c>
      <c r="L56">
        <v>7</v>
      </c>
      <c r="M56">
        <v>58</v>
      </c>
    </row>
    <row r="57" spans="1:13" x14ac:dyDescent="0.35">
      <c r="A57">
        <v>3237</v>
      </c>
      <c r="B57" t="s">
        <v>35</v>
      </c>
      <c r="C57" t="s">
        <v>18</v>
      </c>
      <c r="D57" s="20">
        <v>45354</v>
      </c>
      <c r="E57" t="s">
        <v>19</v>
      </c>
      <c r="F57">
        <v>15</v>
      </c>
      <c r="G57" t="s">
        <v>27</v>
      </c>
      <c r="H57" t="s">
        <v>19</v>
      </c>
      <c r="I57">
        <v>30</v>
      </c>
      <c r="J57" t="s">
        <v>19</v>
      </c>
      <c r="K57">
        <v>20</v>
      </c>
      <c r="L57">
        <v>10</v>
      </c>
      <c r="M57">
        <v>55</v>
      </c>
    </row>
    <row r="58" spans="1:13" x14ac:dyDescent="0.35">
      <c r="A58">
        <v>3502</v>
      </c>
      <c r="B58" t="s">
        <v>289</v>
      </c>
      <c r="C58" t="s">
        <v>18</v>
      </c>
      <c r="D58" s="20">
        <v>45619</v>
      </c>
      <c r="E58" t="s">
        <v>19</v>
      </c>
      <c r="F58">
        <v>15</v>
      </c>
      <c r="G58" t="s">
        <v>27</v>
      </c>
      <c r="H58" t="s">
        <v>19</v>
      </c>
      <c r="I58">
        <v>30</v>
      </c>
      <c r="J58" t="s">
        <v>19</v>
      </c>
      <c r="K58">
        <v>20</v>
      </c>
      <c r="L58">
        <v>7</v>
      </c>
      <c r="M58">
        <v>58</v>
      </c>
    </row>
    <row r="59" spans="1:13" x14ac:dyDescent="0.35">
      <c r="A59">
        <v>3493</v>
      </c>
      <c r="B59" t="s">
        <v>280</v>
      </c>
      <c r="C59" t="s">
        <v>18</v>
      </c>
      <c r="D59" s="20">
        <v>45610</v>
      </c>
      <c r="E59" t="s">
        <v>23</v>
      </c>
      <c r="F59">
        <v>15</v>
      </c>
      <c r="G59" t="s">
        <v>27</v>
      </c>
      <c r="H59" t="s">
        <v>19</v>
      </c>
      <c r="I59">
        <v>30</v>
      </c>
      <c r="J59" t="s">
        <v>19</v>
      </c>
      <c r="K59">
        <v>20</v>
      </c>
      <c r="L59">
        <v>20</v>
      </c>
      <c r="M59">
        <v>45</v>
      </c>
    </row>
    <row r="60" spans="1:13" x14ac:dyDescent="0.35">
      <c r="A60">
        <v>3487</v>
      </c>
      <c r="B60" t="s">
        <v>274</v>
      </c>
      <c r="C60" t="s">
        <v>18</v>
      </c>
      <c r="D60" s="20">
        <v>45604</v>
      </c>
      <c r="E60" t="s">
        <v>23</v>
      </c>
      <c r="F60">
        <v>15</v>
      </c>
      <c r="G60" t="s">
        <v>27</v>
      </c>
      <c r="H60" t="s">
        <v>19</v>
      </c>
      <c r="I60">
        <v>30</v>
      </c>
      <c r="J60" t="s">
        <v>19</v>
      </c>
      <c r="K60">
        <v>20</v>
      </c>
      <c r="L60">
        <v>7</v>
      </c>
      <c r="M60">
        <v>58</v>
      </c>
    </row>
    <row r="61" spans="1:13" x14ac:dyDescent="0.35">
      <c r="A61">
        <v>3248</v>
      </c>
      <c r="B61" t="s">
        <v>46</v>
      </c>
      <c r="C61" t="s">
        <v>18</v>
      </c>
      <c r="D61" s="20">
        <v>45365</v>
      </c>
      <c r="E61" t="s">
        <v>19</v>
      </c>
      <c r="F61">
        <v>15</v>
      </c>
      <c r="G61" t="s">
        <v>27</v>
      </c>
      <c r="H61" t="s">
        <v>19</v>
      </c>
      <c r="I61">
        <v>30</v>
      </c>
      <c r="J61" t="s">
        <v>19</v>
      </c>
      <c r="K61">
        <v>20</v>
      </c>
      <c r="L61">
        <v>7</v>
      </c>
      <c r="M61">
        <v>58</v>
      </c>
    </row>
    <row r="62" spans="1:13" x14ac:dyDescent="0.35">
      <c r="A62">
        <v>3476</v>
      </c>
      <c r="B62" t="s">
        <v>263</v>
      </c>
      <c r="C62" t="s">
        <v>18</v>
      </c>
      <c r="D62" s="20">
        <v>45593</v>
      </c>
      <c r="E62" t="s">
        <v>19</v>
      </c>
      <c r="F62">
        <v>15</v>
      </c>
      <c r="G62" t="s">
        <v>27</v>
      </c>
      <c r="H62" t="s">
        <v>19</v>
      </c>
      <c r="I62">
        <v>30</v>
      </c>
      <c r="J62" t="s">
        <v>19</v>
      </c>
      <c r="K62">
        <v>20</v>
      </c>
      <c r="L62">
        <v>7</v>
      </c>
      <c r="M62">
        <v>58</v>
      </c>
    </row>
    <row r="63" spans="1:13" x14ac:dyDescent="0.35">
      <c r="A63">
        <v>3464</v>
      </c>
      <c r="B63" t="s">
        <v>252</v>
      </c>
      <c r="C63" t="s">
        <v>18</v>
      </c>
      <c r="D63" s="20">
        <v>45581</v>
      </c>
      <c r="E63" t="s">
        <v>19</v>
      </c>
      <c r="F63">
        <v>15</v>
      </c>
      <c r="G63" t="s">
        <v>27</v>
      </c>
      <c r="H63" t="s">
        <v>19</v>
      </c>
      <c r="I63">
        <v>30</v>
      </c>
      <c r="J63" t="s">
        <v>19</v>
      </c>
      <c r="K63">
        <v>20</v>
      </c>
      <c r="L63">
        <v>7</v>
      </c>
      <c r="M63">
        <v>58</v>
      </c>
    </row>
    <row r="64" spans="1:13" x14ac:dyDescent="0.35">
      <c r="A64">
        <v>3452</v>
      </c>
      <c r="B64" t="s">
        <v>220</v>
      </c>
      <c r="C64" t="s">
        <v>18</v>
      </c>
      <c r="D64" s="20">
        <v>45569</v>
      </c>
      <c r="E64" t="s">
        <v>19</v>
      </c>
      <c r="F64">
        <v>15</v>
      </c>
      <c r="G64" t="s">
        <v>27</v>
      </c>
      <c r="H64" t="s">
        <v>19</v>
      </c>
      <c r="I64">
        <v>30</v>
      </c>
      <c r="J64" t="s">
        <v>19</v>
      </c>
      <c r="K64">
        <v>20</v>
      </c>
      <c r="L64">
        <v>7</v>
      </c>
      <c r="M64">
        <v>58</v>
      </c>
    </row>
    <row r="65" spans="1:13" x14ac:dyDescent="0.35">
      <c r="A65">
        <v>3260</v>
      </c>
      <c r="B65" t="s">
        <v>58</v>
      </c>
      <c r="C65" t="s">
        <v>18</v>
      </c>
      <c r="D65" s="20">
        <v>45377</v>
      </c>
      <c r="E65" t="s">
        <v>19</v>
      </c>
      <c r="F65">
        <v>15</v>
      </c>
      <c r="G65" t="s">
        <v>27</v>
      </c>
      <c r="H65" t="s">
        <v>19</v>
      </c>
      <c r="I65">
        <v>30</v>
      </c>
      <c r="J65" t="s">
        <v>19</v>
      </c>
      <c r="K65">
        <v>20</v>
      </c>
      <c r="L65">
        <v>7</v>
      </c>
      <c r="M65">
        <v>58</v>
      </c>
    </row>
    <row r="66" spans="1:13" x14ac:dyDescent="0.35">
      <c r="A66">
        <v>3443</v>
      </c>
      <c r="B66" t="s">
        <v>235</v>
      </c>
      <c r="C66" t="s">
        <v>18</v>
      </c>
      <c r="D66" s="20">
        <v>45560</v>
      </c>
      <c r="E66" t="s">
        <v>23</v>
      </c>
      <c r="F66">
        <v>15</v>
      </c>
      <c r="G66" t="s">
        <v>27</v>
      </c>
      <c r="H66" t="s">
        <v>19</v>
      </c>
      <c r="I66">
        <v>30</v>
      </c>
      <c r="J66" t="s">
        <v>19</v>
      </c>
      <c r="K66">
        <v>20</v>
      </c>
      <c r="L66">
        <v>20</v>
      </c>
      <c r="M66">
        <v>45</v>
      </c>
    </row>
    <row r="67" spans="1:13" x14ac:dyDescent="0.35">
      <c r="A67">
        <v>3437</v>
      </c>
      <c r="B67" t="s">
        <v>229</v>
      </c>
      <c r="C67" t="s">
        <v>18</v>
      </c>
      <c r="D67" s="20">
        <v>45554</v>
      </c>
      <c r="E67" t="s">
        <v>23</v>
      </c>
      <c r="F67">
        <v>15</v>
      </c>
      <c r="G67" t="s">
        <v>27</v>
      </c>
      <c r="H67" t="s">
        <v>19</v>
      </c>
      <c r="I67">
        <v>30</v>
      </c>
      <c r="J67" t="s">
        <v>19</v>
      </c>
      <c r="K67">
        <v>20</v>
      </c>
      <c r="L67">
        <v>7</v>
      </c>
      <c r="M67">
        <v>58</v>
      </c>
    </row>
    <row r="68" spans="1:13" x14ac:dyDescent="0.35">
      <c r="A68">
        <v>3434</v>
      </c>
      <c r="B68" t="s">
        <v>226</v>
      </c>
      <c r="C68" t="s">
        <v>18</v>
      </c>
      <c r="D68" s="20">
        <v>45551</v>
      </c>
      <c r="E68" t="s">
        <v>19</v>
      </c>
      <c r="F68">
        <v>15</v>
      </c>
      <c r="G68" t="s">
        <v>27</v>
      </c>
      <c r="H68" t="s">
        <v>19</v>
      </c>
      <c r="I68">
        <v>30</v>
      </c>
      <c r="J68" t="s">
        <v>19</v>
      </c>
      <c r="K68">
        <v>20</v>
      </c>
      <c r="L68">
        <v>7</v>
      </c>
      <c r="M68">
        <v>58</v>
      </c>
    </row>
    <row r="69" spans="1:13" x14ac:dyDescent="0.35">
      <c r="A69">
        <v>3267</v>
      </c>
      <c r="B69" t="s">
        <v>65</v>
      </c>
      <c r="C69" t="s">
        <v>18</v>
      </c>
      <c r="D69" s="20">
        <v>45384</v>
      </c>
      <c r="E69" t="s">
        <v>23</v>
      </c>
      <c r="F69">
        <v>15</v>
      </c>
      <c r="G69" t="s">
        <v>27</v>
      </c>
      <c r="H69" t="s">
        <v>19</v>
      </c>
      <c r="I69">
        <v>30</v>
      </c>
      <c r="J69" t="s">
        <v>19</v>
      </c>
      <c r="K69">
        <v>20</v>
      </c>
      <c r="L69">
        <v>7</v>
      </c>
      <c r="M69">
        <v>58</v>
      </c>
    </row>
    <row r="70" spans="1:13" x14ac:dyDescent="0.35">
      <c r="A70">
        <v>3422</v>
      </c>
      <c r="B70" t="s">
        <v>216</v>
      </c>
      <c r="C70" t="s">
        <v>18</v>
      </c>
      <c r="D70" s="20">
        <v>45539</v>
      </c>
      <c r="E70" t="s">
        <v>19</v>
      </c>
      <c r="F70">
        <v>15</v>
      </c>
      <c r="G70" t="s">
        <v>27</v>
      </c>
      <c r="H70" t="s">
        <v>19</v>
      </c>
      <c r="I70">
        <v>30</v>
      </c>
      <c r="J70" t="s">
        <v>19</v>
      </c>
      <c r="K70">
        <v>20</v>
      </c>
      <c r="L70">
        <v>7</v>
      </c>
      <c r="M70">
        <v>58</v>
      </c>
    </row>
    <row r="71" spans="1:13" x14ac:dyDescent="0.35">
      <c r="A71">
        <v>3273</v>
      </c>
      <c r="B71" t="s">
        <v>71</v>
      </c>
      <c r="C71" t="s">
        <v>18</v>
      </c>
      <c r="D71" s="20">
        <v>45390</v>
      </c>
      <c r="E71" t="s">
        <v>23</v>
      </c>
      <c r="F71">
        <v>15</v>
      </c>
      <c r="G71" t="s">
        <v>27</v>
      </c>
      <c r="H71" t="s">
        <v>19</v>
      </c>
      <c r="I71">
        <v>30</v>
      </c>
      <c r="J71" t="s">
        <v>19</v>
      </c>
      <c r="K71">
        <v>20</v>
      </c>
      <c r="L71">
        <v>20</v>
      </c>
      <c r="M71">
        <v>45</v>
      </c>
    </row>
    <row r="72" spans="1:13" x14ac:dyDescent="0.35">
      <c r="A72">
        <v>3413</v>
      </c>
      <c r="B72" t="s">
        <v>208</v>
      </c>
      <c r="C72" t="s">
        <v>18</v>
      </c>
      <c r="D72" s="20">
        <v>45530</v>
      </c>
      <c r="E72" t="s">
        <v>23</v>
      </c>
      <c r="F72">
        <v>15</v>
      </c>
      <c r="G72" t="s">
        <v>27</v>
      </c>
      <c r="H72" t="s">
        <v>19</v>
      </c>
      <c r="I72">
        <v>30</v>
      </c>
      <c r="J72" t="s">
        <v>19</v>
      </c>
      <c r="K72">
        <v>20</v>
      </c>
      <c r="L72">
        <v>20</v>
      </c>
      <c r="M72">
        <v>45</v>
      </c>
    </row>
    <row r="73" spans="1:13" x14ac:dyDescent="0.35">
      <c r="A73">
        <v>3407</v>
      </c>
      <c r="B73" t="s">
        <v>202</v>
      </c>
      <c r="C73" t="s">
        <v>18</v>
      </c>
      <c r="D73" s="20">
        <v>45524</v>
      </c>
      <c r="E73" t="s">
        <v>23</v>
      </c>
      <c r="F73">
        <v>15</v>
      </c>
      <c r="G73" t="s">
        <v>27</v>
      </c>
      <c r="H73" t="s">
        <v>19</v>
      </c>
      <c r="I73">
        <v>30</v>
      </c>
      <c r="J73" t="s">
        <v>19</v>
      </c>
      <c r="K73">
        <v>20</v>
      </c>
      <c r="L73">
        <v>7</v>
      </c>
      <c r="M73">
        <v>58</v>
      </c>
    </row>
    <row r="74" spans="1:13" x14ac:dyDescent="0.35">
      <c r="A74">
        <v>3394</v>
      </c>
      <c r="B74" t="s">
        <v>190</v>
      </c>
      <c r="C74" t="s">
        <v>18</v>
      </c>
      <c r="D74" s="20">
        <v>45511</v>
      </c>
      <c r="E74" t="s">
        <v>19</v>
      </c>
      <c r="F74">
        <v>15</v>
      </c>
      <c r="G74" t="s">
        <v>27</v>
      </c>
      <c r="H74" t="s">
        <v>19</v>
      </c>
      <c r="I74">
        <v>30</v>
      </c>
      <c r="J74" t="s">
        <v>19</v>
      </c>
      <c r="K74">
        <v>20</v>
      </c>
      <c r="L74">
        <v>7</v>
      </c>
      <c r="M74">
        <v>58</v>
      </c>
    </row>
    <row r="75" spans="1:13" x14ac:dyDescent="0.35">
      <c r="A75">
        <v>3282</v>
      </c>
      <c r="B75" t="s">
        <v>80</v>
      </c>
      <c r="C75" t="s">
        <v>18</v>
      </c>
      <c r="D75" s="20">
        <v>45399</v>
      </c>
      <c r="E75" t="s">
        <v>19</v>
      </c>
      <c r="F75">
        <v>15</v>
      </c>
      <c r="G75" t="s">
        <v>27</v>
      </c>
      <c r="H75" t="s">
        <v>19</v>
      </c>
      <c r="I75">
        <v>30</v>
      </c>
      <c r="J75" t="s">
        <v>19</v>
      </c>
      <c r="K75">
        <v>20</v>
      </c>
      <c r="L75">
        <v>7</v>
      </c>
      <c r="M75">
        <v>58</v>
      </c>
    </row>
    <row r="76" spans="1:13" x14ac:dyDescent="0.35">
      <c r="A76">
        <v>3382</v>
      </c>
      <c r="B76" t="s">
        <v>179</v>
      </c>
      <c r="C76" t="s">
        <v>18</v>
      </c>
      <c r="D76" s="20">
        <v>45499</v>
      </c>
      <c r="E76" t="s">
        <v>19</v>
      </c>
      <c r="F76">
        <v>15</v>
      </c>
      <c r="G76" t="s">
        <v>27</v>
      </c>
      <c r="H76" t="s">
        <v>19</v>
      </c>
      <c r="I76">
        <v>30</v>
      </c>
      <c r="J76" t="s">
        <v>19</v>
      </c>
      <c r="K76">
        <v>20</v>
      </c>
      <c r="L76">
        <v>7</v>
      </c>
      <c r="M76">
        <v>58</v>
      </c>
    </row>
    <row r="77" spans="1:13" x14ac:dyDescent="0.35">
      <c r="A77">
        <v>3373</v>
      </c>
      <c r="B77" t="s">
        <v>170</v>
      </c>
      <c r="C77" t="s">
        <v>18</v>
      </c>
      <c r="D77" s="20">
        <v>45490</v>
      </c>
      <c r="E77" t="s">
        <v>23</v>
      </c>
      <c r="F77">
        <v>15</v>
      </c>
      <c r="G77" t="s">
        <v>27</v>
      </c>
      <c r="H77" t="s">
        <v>19</v>
      </c>
      <c r="I77">
        <v>30</v>
      </c>
      <c r="J77" t="s">
        <v>19</v>
      </c>
      <c r="K77">
        <v>20</v>
      </c>
      <c r="L77">
        <v>20</v>
      </c>
      <c r="M77">
        <v>45</v>
      </c>
    </row>
    <row r="78" spans="1:13" x14ac:dyDescent="0.35">
      <c r="A78">
        <v>3367</v>
      </c>
      <c r="B78" t="s">
        <v>164</v>
      </c>
      <c r="C78" t="s">
        <v>18</v>
      </c>
      <c r="D78" s="20">
        <v>45484</v>
      </c>
      <c r="E78" t="s">
        <v>23</v>
      </c>
      <c r="F78">
        <v>15</v>
      </c>
      <c r="G78" t="s">
        <v>27</v>
      </c>
      <c r="H78" t="s">
        <v>19</v>
      </c>
      <c r="I78">
        <v>30</v>
      </c>
      <c r="J78" t="s">
        <v>19</v>
      </c>
      <c r="K78">
        <v>20</v>
      </c>
      <c r="L78">
        <v>7</v>
      </c>
      <c r="M78">
        <v>58</v>
      </c>
    </row>
    <row r="79" spans="1:13" x14ac:dyDescent="0.35">
      <c r="A79">
        <v>3364</v>
      </c>
      <c r="B79" t="s">
        <v>161</v>
      </c>
      <c r="C79" t="s">
        <v>18</v>
      </c>
      <c r="D79" s="20">
        <v>45481</v>
      </c>
      <c r="E79" t="s">
        <v>19</v>
      </c>
      <c r="F79">
        <v>15</v>
      </c>
      <c r="G79" t="s">
        <v>27</v>
      </c>
      <c r="H79" t="s">
        <v>19</v>
      </c>
      <c r="I79">
        <v>30</v>
      </c>
      <c r="J79" t="s">
        <v>19</v>
      </c>
      <c r="K79">
        <v>20</v>
      </c>
      <c r="L79">
        <v>7</v>
      </c>
      <c r="M79">
        <v>58</v>
      </c>
    </row>
    <row r="80" spans="1:13" x14ac:dyDescent="0.35">
      <c r="A80">
        <v>3294</v>
      </c>
      <c r="B80" t="s">
        <v>92</v>
      </c>
      <c r="C80" t="s">
        <v>18</v>
      </c>
      <c r="D80" s="20">
        <v>45411</v>
      </c>
      <c r="E80" t="s">
        <v>19</v>
      </c>
      <c r="F80">
        <v>15</v>
      </c>
      <c r="G80" t="s">
        <v>27</v>
      </c>
      <c r="H80" t="s">
        <v>19</v>
      </c>
      <c r="I80">
        <v>30</v>
      </c>
      <c r="J80" t="s">
        <v>19</v>
      </c>
      <c r="K80">
        <v>20</v>
      </c>
      <c r="L80">
        <v>20</v>
      </c>
      <c r="M80">
        <v>45</v>
      </c>
    </row>
    <row r="81" spans="1:13" x14ac:dyDescent="0.35">
      <c r="A81">
        <v>3297</v>
      </c>
      <c r="B81" t="s">
        <v>95</v>
      </c>
      <c r="C81" t="s">
        <v>18</v>
      </c>
      <c r="D81" s="20">
        <v>45414</v>
      </c>
      <c r="E81" t="s">
        <v>19</v>
      </c>
      <c r="F81">
        <v>15</v>
      </c>
      <c r="G81" t="s">
        <v>27</v>
      </c>
      <c r="H81" t="s">
        <v>19</v>
      </c>
      <c r="I81">
        <v>30</v>
      </c>
      <c r="J81" t="s">
        <v>19</v>
      </c>
      <c r="K81">
        <v>20</v>
      </c>
      <c r="L81">
        <v>7</v>
      </c>
      <c r="M81">
        <v>58</v>
      </c>
    </row>
    <row r="82" spans="1:13" x14ac:dyDescent="0.35">
      <c r="A82">
        <v>3352</v>
      </c>
      <c r="B82" t="s">
        <v>149</v>
      </c>
      <c r="C82" t="s">
        <v>18</v>
      </c>
      <c r="D82" s="20">
        <v>45469</v>
      </c>
      <c r="E82" t="s">
        <v>19</v>
      </c>
      <c r="F82">
        <v>15</v>
      </c>
      <c r="G82" t="s">
        <v>27</v>
      </c>
      <c r="H82" t="s">
        <v>19</v>
      </c>
      <c r="I82">
        <v>30</v>
      </c>
      <c r="J82" t="s">
        <v>19</v>
      </c>
      <c r="K82">
        <v>20</v>
      </c>
      <c r="L82">
        <v>7</v>
      </c>
      <c r="M82">
        <v>58</v>
      </c>
    </row>
    <row r="83" spans="1:13" x14ac:dyDescent="0.35">
      <c r="A83">
        <v>3343</v>
      </c>
      <c r="B83" t="s">
        <v>141</v>
      </c>
      <c r="C83" t="s">
        <v>18</v>
      </c>
      <c r="D83" s="20">
        <v>45460</v>
      </c>
      <c r="E83" t="s">
        <v>23</v>
      </c>
      <c r="F83">
        <v>15</v>
      </c>
      <c r="G83" t="s">
        <v>27</v>
      </c>
      <c r="H83" t="s">
        <v>19</v>
      </c>
      <c r="I83">
        <v>30</v>
      </c>
      <c r="J83" t="s">
        <v>19</v>
      </c>
      <c r="K83">
        <v>20</v>
      </c>
      <c r="L83">
        <v>20</v>
      </c>
      <c r="M83">
        <v>45</v>
      </c>
    </row>
    <row r="84" spans="1:13" x14ac:dyDescent="0.35">
      <c r="A84">
        <v>3303</v>
      </c>
      <c r="B84" t="s">
        <v>101</v>
      </c>
      <c r="C84" t="s">
        <v>18</v>
      </c>
      <c r="D84" s="20">
        <v>45420</v>
      </c>
      <c r="E84" t="s">
        <v>19</v>
      </c>
      <c r="F84">
        <v>15</v>
      </c>
      <c r="G84" t="s">
        <v>27</v>
      </c>
      <c r="H84" t="s">
        <v>19</v>
      </c>
      <c r="I84">
        <v>30</v>
      </c>
      <c r="J84" t="s">
        <v>19</v>
      </c>
      <c r="K84">
        <v>20</v>
      </c>
      <c r="L84">
        <v>20</v>
      </c>
      <c r="M84">
        <v>45</v>
      </c>
    </row>
    <row r="85" spans="1:13" x14ac:dyDescent="0.35">
      <c r="A85">
        <v>3337</v>
      </c>
      <c r="B85" t="s">
        <v>135</v>
      </c>
      <c r="C85" t="s">
        <v>18</v>
      </c>
      <c r="D85" s="20">
        <v>45454</v>
      </c>
      <c r="E85" t="s">
        <v>23</v>
      </c>
      <c r="F85">
        <v>15</v>
      </c>
      <c r="G85" t="s">
        <v>27</v>
      </c>
      <c r="H85" t="s">
        <v>19</v>
      </c>
      <c r="I85">
        <v>30</v>
      </c>
      <c r="J85" t="s">
        <v>19</v>
      </c>
      <c r="K85">
        <v>20</v>
      </c>
      <c r="L85">
        <v>7</v>
      </c>
      <c r="M85">
        <v>58</v>
      </c>
    </row>
    <row r="86" spans="1:13" x14ac:dyDescent="0.35">
      <c r="A86">
        <v>3333</v>
      </c>
      <c r="B86" t="s">
        <v>131</v>
      </c>
      <c r="C86" t="s">
        <v>18</v>
      </c>
      <c r="D86" s="20">
        <v>45450</v>
      </c>
      <c r="E86" t="s">
        <v>19</v>
      </c>
      <c r="F86">
        <v>15</v>
      </c>
      <c r="G86" t="s">
        <v>27</v>
      </c>
      <c r="H86" t="s">
        <v>19</v>
      </c>
      <c r="I86">
        <v>30</v>
      </c>
      <c r="J86" t="s">
        <v>19</v>
      </c>
      <c r="K86">
        <v>20</v>
      </c>
      <c r="L86">
        <v>20</v>
      </c>
      <c r="M86">
        <v>45</v>
      </c>
    </row>
    <row r="87" spans="1:13" x14ac:dyDescent="0.35">
      <c r="A87">
        <v>3312</v>
      </c>
      <c r="B87" t="s">
        <v>110</v>
      </c>
      <c r="C87" t="s">
        <v>18</v>
      </c>
      <c r="D87" s="20">
        <v>45429</v>
      </c>
      <c r="E87" t="s">
        <v>23</v>
      </c>
      <c r="F87">
        <v>15</v>
      </c>
      <c r="G87" t="s">
        <v>27</v>
      </c>
      <c r="H87" t="s">
        <v>19</v>
      </c>
      <c r="I87">
        <v>30</v>
      </c>
      <c r="J87" t="s">
        <v>19</v>
      </c>
      <c r="K87">
        <v>20</v>
      </c>
      <c r="L87">
        <v>7</v>
      </c>
      <c r="M87">
        <v>58</v>
      </c>
    </row>
    <row r="88" spans="1:13" x14ac:dyDescent="0.35">
      <c r="A88">
        <v>3324</v>
      </c>
      <c r="B88" t="s">
        <v>122</v>
      </c>
      <c r="C88" t="s">
        <v>18</v>
      </c>
      <c r="D88" s="20">
        <v>45441</v>
      </c>
      <c r="E88" t="s">
        <v>23</v>
      </c>
      <c r="F88">
        <v>15</v>
      </c>
      <c r="G88" t="s">
        <v>27</v>
      </c>
      <c r="H88" t="s">
        <v>19</v>
      </c>
      <c r="I88">
        <v>30</v>
      </c>
      <c r="J88" t="s">
        <v>19</v>
      </c>
      <c r="K88">
        <v>20</v>
      </c>
      <c r="L88">
        <v>20</v>
      </c>
      <c r="M88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E14"/>
  <sheetViews>
    <sheetView showGridLines="0" workbookViewId="0">
      <selection activeCell="E12" sqref="E12"/>
    </sheetView>
  </sheetViews>
  <sheetFormatPr defaultRowHeight="14.5" x14ac:dyDescent="0.35"/>
  <cols>
    <col min="2" max="2" width="17" bestFit="1" customWidth="1"/>
    <col min="3" max="3" width="24" bestFit="1" customWidth="1"/>
    <col min="4" max="6" width="10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5" spans="2:5" ht="18.5" x14ac:dyDescent="0.45">
      <c r="B5" s="23" t="s">
        <v>316</v>
      </c>
      <c r="C5" s="23"/>
      <c r="D5" s="22"/>
    </row>
    <row r="8" spans="2:5" x14ac:dyDescent="0.35">
      <c r="B8" s="13" t="s">
        <v>16</v>
      </c>
      <c r="C8" t="s">
        <v>24</v>
      </c>
    </row>
    <row r="10" spans="2:5" x14ac:dyDescent="0.35">
      <c r="B10" s="13" t="s">
        <v>313</v>
      </c>
      <c r="C10" t="s">
        <v>315</v>
      </c>
    </row>
    <row r="11" spans="2:5" x14ac:dyDescent="0.35">
      <c r="B11" s="12" t="s">
        <v>22</v>
      </c>
      <c r="C11" s="14">
        <v>120</v>
      </c>
    </row>
    <row r="12" spans="2:5" x14ac:dyDescent="0.35">
      <c r="B12" s="12" t="s">
        <v>26</v>
      </c>
      <c r="C12" s="14">
        <v>270</v>
      </c>
      <c r="E12">
        <f>GETPIVOTDATA("Subscription Price",$B$10)</f>
        <v>690</v>
      </c>
    </row>
    <row r="13" spans="2:5" x14ac:dyDescent="0.35">
      <c r="B13" s="12" t="s">
        <v>18</v>
      </c>
      <c r="C13" s="14">
        <v>300</v>
      </c>
    </row>
    <row r="14" spans="2:5" x14ac:dyDescent="0.35">
      <c r="B14" s="12" t="s">
        <v>314</v>
      </c>
      <c r="C14" s="14">
        <v>690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&amp;C_x000D_&amp;1#&amp;"Calibri"&amp;8&amp;K000000 PUBLICO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B1:R212"/>
  <sheetViews>
    <sheetView showGridLines="0" tabSelected="1" topLeftCell="A5" zoomScale="80" zoomScaleNormal="80" workbookViewId="0">
      <selection activeCell="U10" sqref="U10"/>
    </sheetView>
  </sheetViews>
  <sheetFormatPr defaultRowHeight="14.5" x14ac:dyDescent="0.35"/>
  <cols>
    <col min="1" max="1" width="8.36328125" customWidth="1"/>
    <col min="2" max="2" width="8" customWidth="1"/>
    <col min="7" max="7" width="10.81640625" bestFit="1" customWidth="1"/>
    <col min="12" max="12" width="6.54296875" customWidth="1"/>
  </cols>
  <sheetData>
    <row r="1" spans="2:18" ht="15" thickBot="1" x14ac:dyDescent="0.4"/>
    <row r="2" spans="2:18" ht="40" customHeight="1" thickTop="1" thickBot="1" x14ac:dyDescent="0.4">
      <c r="B2" s="16"/>
      <c r="C2" s="26" t="s">
        <v>318</v>
      </c>
      <c r="D2" s="17"/>
      <c r="E2" s="17"/>
      <c r="F2" s="17"/>
      <c r="G2" s="25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2:18" ht="15" thickTop="1" x14ac:dyDescent="0.3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2:18" x14ac:dyDescent="0.35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2:18" x14ac:dyDescent="0.3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2:18" x14ac:dyDescent="0.3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2:18" x14ac:dyDescent="0.35">
      <c r="B7" s="15"/>
      <c r="C7" s="15"/>
      <c r="D7" s="15"/>
      <c r="E7" s="15"/>
      <c r="F7" s="19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2:18" x14ac:dyDescent="0.3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2:18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2:18" x14ac:dyDescent="0.3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2:18" x14ac:dyDescent="0.3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spans="2:18" x14ac:dyDescent="0.35">
      <c r="B12" s="15"/>
      <c r="C12" s="15"/>
      <c r="D12" s="15"/>
      <c r="E12" s="15"/>
      <c r="F12" s="15"/>
      <c r="G12" s="24">
        <f>GETPIVOTDATA("Subscription Price",C̳álculos!$B$10)</f>
        <v>690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2:18" x14ac:dyDescent="0.35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2:18" x14ac:dyDescent="0.35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2:18" x14ac:dyDescent="0.3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2:18" x14ac:dyDescent="0.35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2:18" x14ac:dyDescent="0.35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2:18" x14ac:dyDescent="0.35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2:18" x14ac:dyDescent="0.3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2:18" x14ac:dyDescent="0.35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2:18" x14ac:dyDescent="0.35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2:18" x14ac:dyDescent="0.35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2:18" x14ac:dyDescent="0.3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2:18" x14ac:dyDescent="0.35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spans="2:18" x14ac:dyDescent="0.35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pans="2:18" x14ac:dyDescent="0.35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2:18" x14ac:dyDescent="0.3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2:18" x14ac:dyDescent="0.3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2:18" x14ac:dyDescent="0.3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2:18" x14ac:dyDescent="0.3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2:18" x14ac:dyDescent="0.3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2:18" x14ac:dyDescent="0.3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2:18" x14ac:dyDescent="0.3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2:18" x14ac:dyDescent="0.3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2:18" x14ac:dyDescent="0.3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2:18" x14ac:dyDescent="0.3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2:18" x14ac:dyDescent="0.35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spans="2:18" x14ac:dyDescent="0.35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spans="2:18" x14ac:dyDescent="0.35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 spans="2:18" x14ac:dyDescent="0.35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spans="2:18" x14ac:dyDescent="0.35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18" x14ac:dyDescent="0.35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 spans="2:18" x14ac:dyDescent="0.35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spans="2:18" x14ac:dyDescent="0.35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 spans="2:18" x14ac:dyDescent="0.35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 spans="2:18" x14ac:dyDescent="0.35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spans="2:18" x14ac:dyDescent="0.35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spans="2:18" x14ac:dyDescent="0.35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spans="2:18" x14ac:dyDescent="0.35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spans="2:18" x14ac:dyDescent="0.35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 spans="2:18" x14ac:dyDescent="0.35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 spans="2:18" x14ac:dyDescent="0.35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 spans="2:18" x14ac:dyDescent="0.35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 spans="2:18" x14ac:dyDescent="0.35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 spans="2:18" x14ac:dyDescent="0.35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 spans="2:18" x14ac:dyDescent="0.35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spans="2:18" x14ac:dyDescent="0.35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 spans="2:18" x14ac:dyDescent="0.35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 spans="2:18" x14ac:dyDescent="0.35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spans="2:18" x14ac:dyDescent="0.35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spans="2:18" x14ac:dyDescent="0.35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 spans="2:18" x14ac:dyDescent="0.35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spans="2:18" x14ac:dyDescent="0.3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 spans="2:18" x14ac:dyDescent="0.3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 spans="2:18" x14ac:dyDescent="0.35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 spans="2:18" x14ac:dyDescent="0.3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spans="2:18" x14ac:dyDescent="0.3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spans="2:18" x14ac:dyDescent="0.3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 spans="2:18" x14ac:dyDescent="0.3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 spans="2:18" x14ac:dyDescent="0.3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 spans="2:18" x14ac:dyDescent="0.3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 spans="2:18" x14ac:dyDescent="0.35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 spans="2:18" x14ac:dyDescent="0.35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 spans="2:18" x14ac:dyDescent="0.35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 spans="2:18" x14ac:dyDescent="0.35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spans="2:18" x14ac:dyDescent="0.35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spans="2:18" x14ac:dyDescent="0.35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spans="2:18" x14ac:dyDescent="0.35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spans="2:18" x14ac:dyDescent="0.35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spans="2:18" x14ac:dyDescent="0.35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spans="2:18" x14ac:dyDescent="0.35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spans="2:18" x14ac:dyDescent="0.35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spans="2:18" x14ac:dyDescent="0.35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2:18" x14ac:dyDescent="0.35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spans="2:18" x14ac:dyDescent="0.35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spans="2:18" x14ac:dyDescent="0.35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 spans="2:18" x14ac:dyDescent="0.35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spans="2:18" x14ac:dyDescent="0.35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spans="2:18" x14ac:dyDescent="0.35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 spans="2:18" x14ac:dyDescent="0.35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spans="2:18" x14ac:dyDescent="0.35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spans="2:18" x14ac:dyDescent="0.35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spans="2:18" x14ac:dyDescent="0.35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 spans="2:18" x14ac:dyDescent="0.35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spans="2:18" x14ac:dyDescent="0.35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spans="2:18" x14ac:dyDescent="0.35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spans="2:18" x14ac:dyDescent="0.35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spans="2:18" x14ac:dyDescent="0.35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spans="2:18" x14ac:dyDescent="0.35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 spans="2:18" x14ac:dyDescent="0.35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spans="2:18" x14ac:dyDescent="0.35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 spans="2:18" x14ac:dyDescent="0.35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spans="2:18" x14ac:dyDescent="0.35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 spans="2:18" x14ac:dyDescent="0.35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  <row r="105" spans="2:18" x14ac:dyDescent="0.35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 spans="2:18" x14ac:dyDescent="0.35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 spans="2:18" x14ac:dyDescent="0.35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 spans="2:18" x14ac:dyDescent="0.35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 spans="2:18" x14ac:dyDescent="0.35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 spans="2:18" x14ac:dyDescent="0.35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 spans="2:18" x14ac:dyDescent="0.35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 spans="2:18" x14ac:dyDescent="0.35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 spans="2:18" x14ac:dyDescent="0.35"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 spans="2:18" x14ac:dyDescent="0.35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 spans="2:18" x14ac:dyDescent="0.35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 spans="2:18" x14ac:dyDescent="0.35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 spans="2:18" x14ac:dyDescent="0.35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 spans="2:18" x14ac:dyDescent="0.35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 spans="2:18" x14ac:dyDescent="0.35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 spans="2:18" x14ac:dyDescent="0.35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spans="2:18" x14ac:dyDescent="0.35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spans="2:18" x14ac:dyDescent="0.35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spans="2:18" x14ac:dyDescent="0.35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 spans="2:18" x14ac:dyDescent="0.35"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spans="2:18" x14ac:dyDescent="0.35"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 spans="2:18" x14ac:dyDescent="0.35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spans="2:18" x14ac:dyDescent="0.35"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 spans="2:18" x14ac:dyDescent="0.35"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 spans="2:18" x14ac:dyDescent="0.35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spans="2:18" x14ac:dyDescent="0.35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spans="2:18" x14ac:dyDescent="0.35"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 spans="2:18" x14ac:dyDescent="0.35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 spans="2:18" x14ac:dyDescent="0.35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 spans="2:18" x14ac:dyDescent="0.35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 spans="2:18" x14ac:dyDescent="0.35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 spans="2:18" x14ac:dyDescent="0.35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 spans="2:18" x14ac:dyDescent="0.35"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 spans="2:18" x14ac:dyDescent="0.35"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 spans="2:18" x14ac:dyDescent="0.35"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 spans="2:18" x14ac:dyDescent="0.35"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 spans="2:18" x14ac:dyDescent="0.35"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 spans="2:18" x14ac:dyDescent="0.35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 spans="2:18" x14ac:dyDescent="0.35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 spans="2:18" x14ac:dyDescent="0.35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 spans="2:18" x14ac:dyDescent="0.35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</row>
    <row r="146" spans="2:18" x14ac:dyDescent="0.35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 spans="2:18" x14ac:dyDescent="0.35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</row>
    <row r="148" spans="2:18" x14ac:dyDescent="0.35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 spans="2:18" x14ac:dyDescent="0.35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</row>
    <row r="150" spans="2:18" x14ac:dyDescent="0.35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</row>
    <row r="151" spans="2:18" x14ac:dyDescent="0.35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</row>
    <row r="152" spans="2:18" x14ac:dyDescent="0.35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</row>
    <row r="153" spans="2:18" x14ac:dyDescent="0.35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</row>
    <row r="154" spans="2:18" x14ac:dyDescent="0.35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</row>
    <row r="155" spans="2:18" x14ac:dyDescent="0.35"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</row>
    <row r="156" spans="2:18" x14ac:dyDescent="0.35"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</row>
    <row r="157" spans="2:18" x14ac:dyDescent="0.35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</row>
    <row r="158" spans="2:18" x14ac:dyDescent="0.35"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 spans="2:18" x14ac:dyDescent="0.35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</row>
    <row r="160" spans="2:18" x14ac:dyDescent="0.35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 spans="2:18" x14ac:dyDescent="0.35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 spans="2:18" x14ac:dyDescent="0.35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 spans="2:18" x14ac:dyDescent="0.35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 spans="2:18" x14ac:dyDescent="0.35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 spans="2:18" x14ac:dyDescent="0.35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 spans="2:18" x14ac:dyDescent="0.35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 spans="2:18" x14ac:dyDescent="0.35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</row>
    <row r="168" spans="2:18" x14ac:dyDescent="0.35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 spans="2:18" x14ac:dyDescent="0.35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</row>
    <row r="170" spans="2:18" x14ac:dyDescent="0.35"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</row>
    <row r="171" spans="2:18" x14ac:dyDescent="0.35"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</row>
    <row r="172" spans="2:18" x14ac:dyDescent="0.35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</row>
    <row r="173" spans="2:18" x14ac:dyDescent="0.35"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</row>
    <row r="174" spans="2:18" x14ac:dyDescent="0.35"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</row>
    <row r="175" spans="2:18" x14ac:dyDescent="0.35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</row>
    <row r="176" spans="2:18" x14ac:dyDescent="0.35"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</row>
    <row r="177" spans="2:18" x14ac:dyDescent="0.35"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</row>
    <row r="178" spans="2:18" x14ac:dyDescent="0.35"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 spans="2:18" x14ac:dyDescent="0.35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</row>
    <row r="180" spans="2:18" x14ac:dyDescent="0.35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</row>
    <row r="181" spans="2:18" x14ac:dyDescent="0.35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</row>
    <row r="182" spans="2:18" x14ac:dyDescent="0.35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</row>
    <row r="183" spans="2:18" x14ac:dyDescent="0.35"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</row>
    <row r="184" spans="2:18" x14ac:dyDescent="0.35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</row>
    <row r="185" spans="2:18" x14ac:dyDescent="0.35"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</row>
    <row r="186" spans="2:18" x14ac:dyDescent="0.35"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</row>
    <row r="187" spans="2:18" x14ac:dyDescent="0.35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</row>
    <row r="188" spans="2:18" x14ac:dyDescent="0.35"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</row>
    <row r="189" spans="2:18" x14ac:dyDescent="0.35"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</row>
    <row r="190" spans="2:18" x14ac:dyDescent="0.35"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</row>
    <row r="191" spans="2:18" x14ac:dyDescent="0.35"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</row>
    <row r="192" spans="2:18" x14ac:dyDescent="0.35"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</row>
    <row r="193" spans="2:18" x14ac:dyDescent="0.35"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</row>
    <row r="194" spans="2:18" x14ac:dyDescent="0.35"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</row>
    <row r="195" spans="2:18" x14ac:dyDescent="0.35"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</row>
    <row r="196" spans="2:18" x14ac:dyDescent="0.35"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</row>
    <row r="197" spans="2:18" x14ac:dyDescent="0.35"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</row>
    <row r="198" spans="2:18" x14ac:dyDescent="0.35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</row>
    <row r="199" spans="2:18" x14ac:dyDescent="0.35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</row>
    <row r="200" spans="2:18" x14ac:dyDescent="0.35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</row>
    <row r="201" spans="2:18" x14ac:dyDescent="0.35"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</row>
    <row r="202" spans="2:18" x14ac:dyDescent="0.35"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</row>
    <row r="203" spans="2:18" x14ac:dyDescent="0.35"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</row>
    <row r="204" spans="2:18" x14ac:dyDescent="0.35"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</row>
    <row r="205" spans="2:18" x14ac:dyDescent="0.35"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</row>
    <row r="206" spans="2:18" x14ac:dyDescent="0.35"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</row>
    <row r="207" spans="2:18" x14ac:dyDescent="0.35"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</row>
    <row r="208" spans="2:18" x14ac:dyDescent="0.35"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</row>
    <row r="209" spans="2:18" x14ac:dyDescent="0.35"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</row>
    <row r="210" spans="2:18" x14ac:dyDescent="0.35"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</row>
    <row r="211" spans="2:18" x14ac:dyDescent="0.35"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</row>
    <row r="212" spans="2:18" x14ac:dyDescent="0.35"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</row>
  </sheetData>
  <pageMargins left="0.511811024" right="0.511811024" top="0.78740157499999996" bottom="0.78740157499999996" header="0.31496062000000002" footer="0.31496062000000002"/>
  <headerFooter>
    <oddFooter>&amp;C_x000D_&amp;1#&amp;"Calibri"&amp;8&amp;K000000 PUBLICO</oddFooter>
  </headerFooter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Beatriz Reis</cp:lastModifiedBy>
  <dcterms:created xsi:type="dcterms:W3CDTF">2024-12-19T13:13:10Z</dcterms:created>
  <dcterms:modified xsi:type="dcterms:W3CDTF">2025-03-12T18:51:28Z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SIP_Label_3e9703c3-8686-4dee-861b-3aec716b5a10_Enabled">
    <vt:lpwstr>true</vt:lpwstr>
  </property>
  <property fmtid="{D5CDD505-2E9C-101B-9397-08002B2CF9AE}" pid="4" name="MSIP_Label_3e9703c3-8686-4dee-861b-3aec716b5a10_SetDate">
    <vt:lpwstr>2025-03-12T15:13:32Z</vt:lpwstr>
  </property>
  <property fmtid="{D5CDD505-2E9C-101B-9397-08002B2CF9AE}" pid="5" name="MSIP_Label_3e9703c3-8686-4dee-861b-3aec716b5a10_Method">
    <vt:lpwstr>Privileged</vt:lpwstr>
  </property>
  <property fmtid="{D5CDD505-2E9C-101B-9397-08002B2CF9AE}" pid="6" name="MSIP_Label_3e9703c3-8686-4dee-861b-3aec716b5a10_Name">
    <vt:lpwstr>PUBLICO</vt:lpwstr>
  </property>
  <property fmtid="{D5CDD505-2E9C-101B-9397-08002B2CF9AE}" pid="7" name="MSIP_Label_3e9703c3-8686-4dee-861b-3aec716b5a10_SiteId">
    <vt:lpwstr>f6d97d48-a20e-41b6-b814-221fdbf9cdfe</vt:lpwstr>
  </property>
  <property fmtid="{D5CDD505-2E9C-101B-9397-08002B2CF9AE}" pid="8" name="MSIP_Label_3e9703c3-8686-4dee-861b-3aec716b5a10_ActionId">
    <vt:lpwstr>e39d3f31-6d35-413d-a0dd-46e0c209986f</vt:lpwstr>
  </property>
  <property fmtid="{D5CDD505-2E9C-101B-9397-08002B2CF9AE}" pid="9" name="MSIP_Label_3e9703c3-8686-4dee-861b-3aec716b5a10_ContentBits">
    <vt:lpwstr>2</vt:lpwstr>
  </property>
  <property fmtid="{D5CDD505-2E9C-101B-9397-08002B2CF9AE}" pid="10" name="MSIP_Label_3e9703c3-8686-4dee-861b-3aec716b5a10_Tag">
    <vt:lpwstr>10, 0, 1, 1</vt:lpwstr>
  </property>
</Properties>
</file>